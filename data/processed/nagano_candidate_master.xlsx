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3d4da4b80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補マスター" sheetId="1" r:id="Rbb8ecbeee6e54558"/>
    <x:sheet xmlns:r="http://schemas.openxmlformats.org/officeDocument/2006/relationships" name="行政履歴" sheetId="2" r:id="R8875a6dd457e4278"/>
    <x:sheet xmlns:r="http://schemas.openxmlformats.org/officeDocument/2006/relationships" name="サマリー" sheetId="3" r:id="R266f0f1331ab43ce"/>
    <x:sheet xmlns:r="http://schemas.openxmlformats.org/officeDocument/2006/relationships" name="実走候補" sheetId="4" r:id="R99434244e747438a"/>
    <x:sheet xmlns:r="http://schemas.openxmlformats.org/officeDocument/2006/relationships" name="既存17件" sheetId="5" r:id="R6f5bfcd4ec7f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sz val="11"/>
      <x:color rgb="FF365442"/>
      <x:name val="Carlito"/>
    </x:font>
    <x:font>
      <x:b/>
      <x:sz val="15"/>
      <x:color rgb="FF294936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94936"/>
      </x:patternFill>
    </x:fill>
    <x:fill>
      <x:patternFill patternType="solid">
        <x:fgColor rgb="FF445E76"/>
      </x:patternFill>
    </x:fill>
    <x:fill>
      <x:patternFill patternType="solid">
        <x:fgColor rgb="FFE9F0EB"/>
      </x:patternFill>
    </x:fill>
    <x:fill>
      <x:patternFill patternType="solid">
        <x:fgColor rgb="FF476B51"/>
      </x:patternFill>
    </x:fill>
    <x:fill>
      <x:patternFill patternType="solid">
        <x:fgColor rgb="FFF6F8F6"/>
      </x:patternFill>
    </x:fill>
    <x:fill>
      <x:patternFill patternType="solid">
        <x:fgColor rgb="FF6F8C74"/>
      </x:patternFill>
    </x:fill>
    <x:fill>
      <x:patternFill patternType="solid">
        <x:fgColor rgb="FF7A5C31"/>
      </x:patternFill>
    </x:fill>
  </x:fills>
  <x:borders count="8">
    <x:border/>
    <x:border/>
    <x:border>
      <x:left style="thin">
        <x:color rgb="FFDDE5DF"/>
      </x:left>
      <x:right style="thin">
        <x:color rgb="FFDDE5DF"/>
      </x:right>
      <x:top style="thin">
        <x:color rgb="FFDDE5DF"/>
      </x:top>
      <x:bottom style="thin">
        <x:color rgb="FFDDE5DF"/>
      </x:bottom>
    </x:border>
    <x:border>
      <x:left style="thin">
        <x:color rgb="FFDDE5DF"/>
      </x:left>
      <x:right style="thin">
        <x:color rgb="FFDDE5DF"/>
      </x:right>
      <x:top style="thin">
        <x:color rgb="FFDDE5DF"/>
      </x:top>
      <x:bottom style="thin">
        <x:color rgb="FFDDE5DF"/>
      </x:bottom>
    </x:border>
    <x:border>
      <x:left style="thin">
        <x:color rgb="FFD7E1DA"/>
      </x:left>
      <x:right style="thin">
        <x:color rgb="FFD7E1DA"/>
      </x:right>
      <x:top style="thin">
        <x:color rgb="FFD7E1DA"/>
      </x:top>
      <x:bottom style="thin">
        <x:color rgb="FFD7E1DA"/>
      </x:bottom>
    </x:border>
    <x:border>
      <x:left style="thin">
        <x:color rgb="FFD7E1DA"/>
      </x:left>
      <x:right style="thin">
        <x:color rgb="FFD7E1DA"/>
      </x:right>
      <x:top style="thin">
        <x:color rgb="FFD7E1DA"/>
      </x:top>
      <x:bottom style="thin">
        <x:color rgb="FFD7E1DA"/>
      </x:bottom>
    </x:border>
    <x:border>
      <x:left style="thin">
        <x:color rgb="FFE7DDCF"/>
      </x:left>
      <x:right style="thin">
        <x:color rgb="FFE7DDCF"/>
      </x:right>
      <x:top style="thin">
        <x:color rgb="FFE7DDCF"/>
      </x:top>
      <x:bottom style="thin">
        <x:color rgb="FFE7DDCF"/>
      </x:bottom>
    </x:border>
    <x:border>
      <x:left style="thin">
        <x:color rgb="FFE7DDCF"/>
      </x:left>
      <x:right style="thin">
        <x:color rgb="FFE7DDCF"/>
      </x:right>
      <x:top style="thin">
        <x:color rgb="FFE7DDCF"/>
      </x:top>
      <x:bottom style="thin">
        <x:color rgb="FFE7DDCF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F5C35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color rgb="FF8A3D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dff85234e04276" /><Relationship Type="http://schemas.openxmlformats.org/officeDocument/2006/relationships/theme" Target="/xl/theme/theme1.xml" Id="Rba8c7f4a7b91437b" /><Relationship Type="http://schemas.openxmlformats.org/officeDocument/2006/relationships/sharedStrings" Target="/xl/sharedStrings.xml" Id="Rf9161431b1204b2e" /><Relationship Type="http://schemas.openxmlformats.org/officeDocument/2006/relationships/worksheet" Target="/xl/worksheets/sheet1.xml" Id="Rbb8ecbeee6e54558" /><Relationship Type="http://schemas.openxmlformats.org/officeDocument/2006/relationships/worksheet" Target="/xl/worksheets/sheet2.xml" Id="R8875a6dd457e4278" /><Relationship Type="http://schemas.openxmlformats.org/officeDocument/2006/relationships/worksheet" Target="/xl/worksheets/sheet3.xml" Id="R266f0f1331ab43ce" /><Relationship Type="http://schemas.openxmlformats.org/officeDocument/2006/relationships/worksheet" Target="/xl/worksheets/sheet4.xml" Id="R99434244e747438a" /><Relationship Type="http://schemas.openxmlformats.org/officeDocument/2006/relationships/worksheet" Target="/xl/worksheets/sheet5.xml" Id="R6f5bfcd4ec7f4ed8" /></Relationships>
</file>

<file path=xl/tables/table1.xml><?xml version="1.0" encoding="utf-8"?>
<x:table xmlns:x="http://schemas.openxmlformats.org/spreadsheetml/2006/main" id="1" name="NaganoCandidateMaster" displayName="NaganoCandidateMaster" ref="A1:AA145" headerRowCount="1" totalsRowCount="0" totalsRowShown="0">
  <x:tableColumns count="27">
    <x:tableColumn id="1" name="ID"/>
    <x:tableColumn id="2" name="林道名"/>
    <x:tableColumn id="3" name="関係市町村"/>
    <x:tableColumn id="4" name="地域"/>
    <x:tableColumn id="5" name="候補状態"/>
    <x:tableColumn id="6" name="優先度"/>
    <x:tableColumn id="7" name="行政計画"/>
    <x:tableColumn id="8" name="事業型"/>
    <x:tableColumn id="9" name="事業内容"/>
    <x:tableColumn id="10" name="整備延長等"/>
    <x:tableColumn id="11" name="利用区域ha"/>
    <x:tableColumn id="12" name="位置状態"/>
    <x:tableColumn id="13" name="緯度"/>
    <x:tableColumn id="14" name="経度"/>
    <x:tableColumn id="15" name="OSM一致"/>
    <x:tableColumn id="16" name="OSM道路種別"/>
    <x:tableColumn id="17" name="OSM路面"/>
    <x:tableColumn id="18" name="OSM tracktype"/>
    <x:tableColumn id="19" name="OSM way ID"/>
    <x:tableColumn id="20" name="未舗装手掛かり"/>
    <x:tableColumn id="21" name="通行可否"/>
    <x:tableColumn id="22" name="選定理由"/>
    <x:tableColumn id="23" name="注意点"/>
    <x:tableColumn id="24" name="取得元"/>
    <x:tableColumn id="25" name="位置情報源"/>
    <x:tableColumn id="26" name="参照URL"/>
    <x:tableColumn id="27" name="確認日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NaganoPlanHistory" displayName="NaganoPlanHistory" ref="A1:K273" headerRowCount="1" totalsRowCount="0" totalsRowShown="0">
  <x:tableColumns count="11">
    <x:tableColumn id="1" name="林道名"/>
    <x:tableColumn id="2" name="関係市町村"/>
    <x:tableColumn id="3" name="計画期間"/>
    <x:tableColumn id="4" name="事業型"/>
    <x:tableColumn id="5" name="事業内容"/>
    <x:tableColumn id="6" name="工期"/>
    <x:tableColumn id="7" name="総事業費千円"/>
    <x:tableColumn id="8" name="ほか表記"/>
    <x:tableColumn id="9" name="資料ページ"/>
    <x:tableColumn id="10" name="行政出典URL"/>
    <x:tableColumn id="11" name="確認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aganoRideShortlist" displayName="NaganoRideShortlist" ref="A1:J11" headerRowCount="1" totalsRowCount="0" totalsRowShown="0">
  <x:tableColumns count="10">
    <x:tableColumn id="1" name="順位"/>
    <x:tableColumn id="2" name="ID"/>
    <x:tableColumn id="3" name="林道名"/>
    <x:tableColumn id="4" name="市町村"/>
    <x:tableColumn id="5" name="地域"/>
    <x:tableColumn id="6" name="優先度"/>
    <x:tableColumn id="7" name="位置状態"/>
    <x:tableColumn id="8" name="未舗装手掛かり"/>
    <x:tableColumn id="9" name="選定理由"/>
    <x:tableColumn id="10" name="参照先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Existing17Candidates" displayName="Existing17Candidates" ref="A1:AA18" headerRowCount="1" totalsRowCount="0" totalsRowShown="0">
  <x:tableColumns count="27">
    <x:tableColumn id="1" name="ID"/>
    <x:tableColumn id="2" name="林道名"/>
    <x:tableColumn id="3" name="関係市町村"/>
    <x:tableColumn id="4" name="地域"/>
    <x:tableColumn id="5" name="候補状態"/>
    <x:tableColumn id="6" name="優先度"/>
    <x:tableColumn id="7" name="行政計画"/>
    <x:tableColumn id="8" name="事業型"/>
    <x:tableColumn id="9" name="事業内容"/>
    <x:tableColumn id="10" name="整備延長等"/>
    <x:tableColumn id="11" name="利用区域ha"/>
    <x:tableColumn id="12" name="位置状態"/>
    <x:tableColumn id="13" name="緯度"/>
    <x:tableColumn id="14" name="経度"/>
    <x:tableColumn id="15" name="OSM一致"/>
    <x:tableColumn id="16" name="OSM道路種別"/>
    <x:tableColumn id="17" name="OSM路面"/>
    <x:tableColumn id="18" name="OSM tracktype"/>
    <x:tableColumn id="19" name="OSM way ID"/>
    <x:tableColumn id="20" name="未舗装手掛かり"/>
    <x:tableColumn id="21" name="通行可否"/>
    <x:tableColumn id="22" name="選定理由"/>
    <x:tableColumn id="23" name="注意点"/>
    <x:tableColumn id="24" name="取得元"/>
    <x:tableColumn id="25" name="位置情報源"/>
    <x:tableColumn id="26" name="参照URL"/>
    <x:tableColumn id="27" name="確認日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30d2e1912b4d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70510850f949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35cb393c724a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e4cf6922ed43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9" hidden="0" customWidth="1"/>
    <x:col min="5" max="5" width="23" hidden="0" customWidth="1"/>
    <x:col min="6" max="6" width="9" hidden="0" customWidth="1"/>
    <x:col min="7" max="7" width="20" hidden="0" customWidth="1"/>
    <x:col min="8" max="8" width="22" hidden="0" customWidth="1"/>
    <x:col min="9" max="9" width="34" hidden="0" customWidth="1"/>
    <x:col min="10" max="10" width="20" hidden="0" customWidth="1"/>
    <x:col min="11" max="11" width="13" hidden="0" customWidth="1"/>
    <x:col min="12" max="12" width="20" hidden="0" customWidth="1"/>
    <x:col min="13" max="13" width="13" hidden="0" customWidth="1"/>
    <x:col min="14" max="14" width="13" hidden="0" customWidth="1"/>
    <x:col min="15" max="15" width="11" hidden="0" customWidth="1"/>
    <x:col min="16" max="16" width="17" hidden="0" customWidth="1"/>
    <x:col min="17" max="17" width="15" hidden="0" customWidth="1"/>
    <x:col min="18" max="18" width="16" hidden="0" customWidth="1"/>
    <x:col min="19" max="19" width="22" hidden="0" customWidth="1"/>
    <x:col min="20" max="20" width="14" hidden="0" customWidth="1"/>
    <x:col min="21" max="21" width="22" hidden="0" customWidth="1"/>
    <x:col min="22" max="22" width="48" hidden="0" customWidth="1"/>
    <x:col min="23" max="23" width="44" hidden="0" customWidth="1"/>
    <x:col min="24" max="24" width="50" hidden="0" customWidth="1"/>
    <x:col min="25" max="25" width="48" hidden="0" customWidth="1"/>
    <x:col min="26" max="26" width="48" hidden="0" customWidth="1"/>
    <x:col min="27" max="27" width="13" hidden="0" customWidth="1"/>
  </x:cols>
  <x:sheetData>
    <x:row r="1" ht="34" customHeight="1">
      <x:c r="A1" s="14" t="str">
        <x:v>ID</x:v>
      </x:c>
      <x:c r="B1" s="14" t="str">
        <x:v>林道名</x:v>
      </x:c>
      <x:c r="C1" s="14" t="str">
        <x:v>関係市町村</x:v>
      </x:c>
      <x:c r="D1" s="14" t="str">
        <x:v>地域</x:v>
      </x:c>
      <x:c r="E1" s="14" t="str">
        <x:v>候補状態</x:v>
      </x:c>
      <x:c r="F1" s="14" t="str">
        <x:v>優先度</x:v>
      </x:c>
      <x:c r="G1" s="14" t="str">
        <x:v>行政計画</x:v>
      </x:c>
      <x:c r="H1" s="14" t="str">
        <x:v>事業型</x:v>
      </x:c>
      <x:c r="I1" s="14" t="str">
        <x:v>事業内容</x:v>
      </x:c>
      <x:c r="J1" s="14" t="str">
        <x:v>整備延長等</x:v>
      </x:c>
      <x:c r="K1" s="14" t="str">
        <x:v>利用区域ha</x:v>
      </x:c>
      <x:c r="L1" s="14" t="str">
        <x:v>位置状態</x:v>
      </x:c>
      <x:c r="M1" s="14" t="str">
        <x:v>緯度</x:v>
      </x:c>
      <x:c r="N1" s="14" t="str">
        <x:v>経度</x:v>
      </x:c>
      <x:c r="O1" s="14" t="str">
        <x:v>OSM一致</x:v>
      </x:c>
      <x:c r="P1" s="14" t="str">
        <x:v>OSM道路種別</x:v>
      </x:c>
      <x:c r="Q1" s="14" t="str">
        <x:v>OSM路面</x:v>
      </x:c>
      <x:c r="R1" s="14" t="str">
        <x:v>OSM tracktype</x:v>
      </x:c>
      <x:c r="S1" s="14" t="str">
        <x:v>OSM way ID</x:v>
      </x:c>
      <x:c r="T1" s="14" t="str">
        <x:v>未舗装手掛かり</x:v>
      </x:c>
      <x:c r="U1" s="14" t="str">
        <x:v>通行可否</x:v>
      </x:c>
      <x:c r="V1" s="14" t="str">
        <x:v>選定理由</x:v>
      </x:c>
      <x:c r="W1" s="14" t="str">
        <x:v>注意点</x:v>
      </x:c>
      <x:c r="X1" s="14" t="str">
        <x:v>取得元</x:v>
      </x:c>
      <x:c r="Y1" s="14" t="str">
        <x:v>位置情報源</x:v>
      </x:c>
      <x:c r="Z1" s="14" t="str">
        <x:v>参照URL</x:v>
      </x:c>
      <x:c r="AA1" s="14" t="str">
        <x:v>確認日</x:v>
      </x:c>
    </x:row>
    <x:row r="2">
      <x:c r="A2" s="15" t="str">
        <x:v>NGN-000001</x:v>
      </x:c>
      <x:c r="B2" s="15" t="str">
        <x:v>東嶽</x:v>
      </x:c>
      <x:c r="C2" s="15" t="str">
        <x:v>茅野市</x:v>
      </x:c>
      <x:c r="D2" s="15" t="str">
        <x:v>南信</x:v>
      </x:c>
      <x:c r="E2" s="15" t="str">
        <x:v>位置追加調査</x:v>
      </x:c>
      <x:c r="F2" s="15" t="str">
        <x:v>C</x:v>
      </x:c>
      <x:c r="G2" s="15" t="str">
        <x:v>茅野市森林整備計画</x:v>
      </x:c>
      <x:c r="H2" s="15" t="str">
        <x:v>開設（新設）</x:v>
      </x:c>
      <x:c r="I2" s="15" t="str">
        <x:v>開設（新設） 5,000m</x:v>
      </x:c>
      <x:c r="J2" s="15" t="str">
        <x:v>5,000m</x:v>
      </x:c>
      <x:c r="K2" s="15" t="str">
        <x:v>104</x:v>
      </x:c>
      <x:c r="L2" s="15" t="str">
        <x:v>位置未特定</x:v>
      </x:c>
      <x:c r="M2" s="15" t="str"/>
      <x:c r="N2" s="15" t="str"/>
      <x:c r="O2" s="15" t="str">
        <x:v>なし</x:v>
      </x:c>
      <x:c r="P2" s="15" t="str"/>
      <x:c r="Q2" s="15" t="str"/>
      <x:c r="R2" s="15" t="str"/>
      <x:c r="S2" s="15" t="str"/>
      <x:c r="T2" s="15" t="str">
        <x:v>未確認</x:v>
      </x:c>
      <x:c r="U2" s="15" t="str">
        <x:v>要確認</x:v>
      </x:c>
      <x:c r="V2" s="15" t="str">
        <x:v>市森林整備計画で整備内容・延長・利用区域を確認。入口・代表点未特定。</x:v>
      </x:c>
      <x:c r="W2" s="15" t="str">
        <x:v>通行可否・ゲート・路面は現地未確認。</x:v>
      </x:c>
      <x:c r="X2" s="15" t="str">
        <x:v>茅野市「茅野市森林整備計画書」 https://www.city.chino.lg.jp/uploaded/attachment/28188.pdf</x:v>
      </x:c>
      <x:c r="Y2" s="15" t="str"/>
      <x:c r="Z2" s="15" t="str">
        <x:v>https://www.city.chino.lg.jp/uploaded/attachment/28188.pdf</x:v>
      </x:c>
      <x:c r="AA2" s="15" t="str">
        <x:v>2026-07-10</x:v>
      </x:c>
    </x:row>
    <x:row r="3">
      <x:c r="A3" s="15" t="str">
        <x:v>NGN-000002</x:v>
      </x:c>
      <x:c r="B3" s="15" t="str">
        <x:v>美濃戸</x:v>
      </x:c>
      <x:c r="C3" s="15" t="str">
        <x:v>茅野市</x:v>
      </x:c>
      <x:c r="D3" s="15" t="str">
        <x:v>南信</x:v>
      </x:c>
      <x:c r="E3" s="15" t="str">
        <x:v>位置追加調査</x:v>
      </x:c>
      <x:c r="F3" s="15" t="str">
        <x:v>C</x:v>
      </x:c>
      <x:c r="G3" s="15" t="str">
        <x:v>茅野市森林整備計画</x:v>
      </x:c>
      <x:c r="H3" s="15" t="str">
        <x:v>開設（新設）</x:v>
      </x:c>
      <x:c r="I3" s="15" t="str">
        <x:v>開設（新設） 5,000m</x:v>
      </x:c>
      <x:c r="J3" s="15" t="str">
        <x:v>5,000m</x:v>
      </x:c>
      <x:c r="K3" s="15" t="str">
        <x:v>497</x:v>
      </x:c>
      <x:c r="L3" s="15" t="str">
        <x:v>位置未特定</x:v>
      </x:c>
      <x:c r="M3" s="15" t="str"/>
      <x:c r="N3" s="15" t="str"/>
      <x:c r="O3" s="15" t="str">
        <x:v>なし</x:v>
      </x:c>
      <x:c r="P3" s="15" t="str"/>
      <x:c r="Q3" s="15" t="str"/>
      <x:c r="R3" s="15" t="str"/>
      <x:c r="S3" s="15" t="str"/>
      <x:c r="T3" s="15" t="str">
        <x:v>未確認</x:v>
      </x:c>
      <x:c r="U3" s="15" t="str">
        <x:v>要確認</x:v>
      </x:c>
      <x:c r="V3" s="15" t="str">
        <x:v>市森林整備計画で整備内容・延長・利用区域を確認。入口・代表点未特定。</x:v>
      </x:c>
      <x:c r="W3" s="15" t="str">
        <x:v>通行可否・ゲート・路面は現地未確認。</x:v>
      </x:c>
      <x:c r="X3" s="15" t="str">
        <x:v>茅野市「茅野市森林整備計画書」 https://www.city.chino.lg.jp/uploaded/attachment/28188.pdf</x:v>
      </x:c>
      <x:c r="Y3" s="15" t="str"/>
      <x:c r="Z3" s="15" t="str">
        <x:v>https://www.city.chino.lg.jp/uploaded/attachment/28188.pdf</x:v>
      </x:c>
      <x:c r="AA3" s="15" t="str">
        <x:v>2026-07-10</x:v>
      </x:c>
    </x:row>
    <x:row r="4">
      <x:c r="A4" s="15" t="str">
        <x:v>NGN-000003</x:v>
      </x:c>
      <x:c r="B4" s="15" t="str">
        <x:v>裏望岳</x:v>
      </x:c>
      <x:c r="C4" s="15" t="str">
        <x:v>茅野市</x:v>
      </x:c>
      <x:c r="D4" s="15" t="str">
        <x:v>南信</x:v>
      </x:c>
      <x:c r="E4" s="15" t="str">
        <x:v>位置追加調査</x:v>
      </x:c>
      <x:c r="F4" s="15" t="str">
        <x:v>C</x:v>
      </x:c>
      <x:c r="G4" s="15" t="str">
        <x:v>茅野市森林整備計画</x:v>
      </x:c>
      <x:c r="H4" s="15" t="str">
        <x:v>開設（新設）</x:v>
      </x:c>
      <x:c r="I4" s="15" t="str">
        <x:v>開設（新設） 3,300m</x:v>
      </x:c>
      <x:c r="J4" s="15" t="str">
        <x:v>3,300m</x:v>
      </x:c>
      <x:c r="K4" s="15" t="str">
        <x:v>243</x:v>
      </x:c>
      <x:c r="L4" s="15" t="str">
        <x:v>位置未特定</x:v>
      </x:c>
      <x:c r="M4" s="15" t="str"/>
      <x:c r="N4" s="15" t="str"/>
      <x:c r="O4" s="15" t="str">
        <x:v>なし</x:v>
      </x:c>
      <x:c r="P4" s="15" t="str"/>
      <x:c r="Q4" s="15" t="str"/>
      <x:c r="R4" s="15" t="str"/>
      <x:c r="S4" s="15" t="str"/>
      <x:c r="T4" s="15" t="str">
        <x:v>未確認</x:v>
      </x:c>
      <x:c r="U4" s="15" t="str">
        <x:v>要確認</x:v>
      </x:c>
      <x:c r="V4" s="15" t="str">
        <x:v>市森林整備計画で整備内容・延長・利用区域を確認。入口・代表点未特定。</x:v>
      </x:c>
      <x:c r="W4" s="15" t="str">
        <x:v>通行可否・ゲート・路面は現地未確認。</x:v>
      </x:c>
      <x:c r="X4" s="15" t="str">
        <x:v>茅野市「茅野市森林整備計画書」 https://www.city.chino.lg.jp/uploaded/attachment/28188.pdf</x:v>
      </x:c>
      <x:c r="Y4" s="15" t="str"/>
      <x:c r="Z4" s="15" t="str">
        <x:v>https://www.city.chino.lg.jp/uploaded/attachment/28188.pdf</x:v>
      </x:c>
      <x:c r="AA4" s="15" t="str">
        <x:v>2026-07-10</x:v>
      </x:c>
    </x:row>
    <x:row r="5">
      <x:c r="A5" s="15" t="str">
        <x:v>NGN-000004</x:v>
      </x:c>
      <x:c r="B5" s="15" t="str">
        <x:v>多々羅枝</x:v>
      </x:c>
      <x:c r="C5" s="15" t="str">
        <x:v>茅野市</x:v>
      </x:c>
      <x:c r="D5" s="15" t="str">
        <x:v>南信</x:v>
      </x:c>
      <x:c r="E5" s="15" t="str">
        <x:v>位置追加調査</x:v>
      </x:c>
      <x:c r="F5" s="15" t="str">
        <x:v>C</x:v>
      </x:c>
      <x:c r="G5" s="15" t="str">
        <x:v>茅野市森林整備計画</x:v>
      </x:c>
      <x:c r="H5" s="15" t="str">
        <x:v>開設（新設）</x:v>
      </x:c>
      <x:c r="I5" s="15" t="str">
        <x:v>開設（新設） 600m</x:v>
      </x:c>
      <x:c r="J5" s="15" t="str">
        <x:v>600m</x:v>
      </x:c>
      <x:c r="K5" s="15" t="str">
        <x:v>10</x:v>
      </x:c>
      <x:c r="L5" s="15" t="str">
        <x:v>位置未特定</x:v>
      </x:c>
      <x:c r="M5" s="15" t="str"/>
      <x:c r="N5" s="15" t="str"/>
      <x:c r="O5" s="15" t="str">
        <x:v>なし</x:v>
      </x:c>
      <x:c r="P5" s="15" t="str"/>
      <x:c r="Q5" s="15" t="str"/>
      <x:c r="R5" s="15" t="str"/>
      <x:c r="S5" s="15" t="str"/>
      <x:c r="T5" s="15" t="str">
        <x:v>未確認</x:v>
      </x:c>
      <x:c r="U5" s="15" t="str">
        <x:v>要確認</x:v>
      </x:c>
      <x:c r="V5" s="15" t="str">
        <x:v>市森林整備計画で整備内容・延長・利用区域を確認。入口・代表点未特定。</x:v>
      </x:c>
      <x:c r="W5" s="15" t="str">
        <x:v>通行可否・ゲート・路面は現地未確認。</x:v>
      </x:c>
      <x:c r="X5" s="15" t="str">
        <x:v>茅野市「茅野市森林整備計画書」 https://www.city.chino.lg.jp/uploaded/attachment/28188.pdf</x:v>
      </x:c>
      <x:c r="Y5" s="15" t="str"/>
      <x:c r="Z5" s="15" t="str">
        <x:v>https://www.city.chino.lg.jp/uploaded/attachment/28188.pdf</x:v>
      </x:c>
      <x:c r="AA5" s="15" t="str">
        <x:v>2026-07-10</x:v>
      </x:c>
    </x:row>
    <x:row r="6">
      <x:c r="A6" s="15" t="str">
        <x:v>NGN-000005</x:v>
      </x:c>
      <x:c r="B6" s="15" t="str">
        <x:v>多々羅</x:v>
      </x:c>
      <x:c r="C6" s="15" t="str">
        <x:v>茅野市</x:v>
      </x:c>
      <x:c r="D6" s="15" t="str">
        <x:v>南信</x:v>
      </x:c>
      <x:c r="E6" s="15" t="str">
        <x:v>位置追加調査</x:v>
      </x:c>
      <x:c r="F6" s="15" t="str">
        <x:v>C</x:v>
      </x:c>
      <x:c r="G6" s="15" t="str">
        <x:v>茅野市森林整備計画</x:v>
      </x:c>
      <x:c r="H6" s="15" t="str">
        <x:v>開設（改築）</x:v>
      </x:c>
      <x:c r="I6" s="15" t="str">
        <x:v>開設（改築） 2,000m</x:v>
      </x:c>
      <x:c r="J6" s="15" t="str">
        <x:v>2,000m</x:v>
      </x:c>
      <x:c r="K6" s="15" t="str">
        <x:v>247</x:v>
      </x:c>
      <x:c r="L6" s="15" t="str">
        <x:v>位置未特定</x:v>
      </x:c>
      <x:c r="M6" s="15" t="str"/>
      <x:c r="N6" s="15" t="str"/>
      <x:c r="O6" s="15" t="str">
        <x:v>なし</x:v>
      </x:c>
      <x:c r="P6" s="15" t="str"/>
      <x:c r="Q6" s="15" t="str"/>
      <x:c r="R6" s="15" t="str"/>
      <x:c r="S6" s="15" t="str"/>
      <x:c r="T6" s="15" t="str">
        <x:v>未確認</x:v>
      </x:c>
      <x:c r="U6" s="15" t="str">
        <x:v>要確認</x:v>
      </x:c>
      <x:c r="V6" s="15" t="str">
        <x:v>市森林整備計画で整備内容・延長・利用区域を確認。入口・代表点未特定。</x:v>
      </x:c>
      <x:c r="W6" s="15" t="str">
        <x:v>通行可否・ゲート・路面は現地未確認。</x:v>
      </x:c>
      <x:c r="X6" s="15" t="str">
        <x:v>茅野市「茅野市森林整備計画書」 https://www.city.chino.lg.jp/uploaded/attachment/28188.pdf</x:v>
      </x:c>
      <x:c r="Y6" s="15" t="str"/>
      <x:c r="Z6" s="15" t="str">
        <x:v>https://www.city.chino.lg.jp/uploaded/attachment/28188.pdf</x:v>
      </x:c>
      <x:c r="AA6" s="15" t="str">
        <x:v>2026-07-10</x:v>
      </x:c>
    </x:row>
    <x:row r="7">
      <x:c r="A7" s="15" t="str">
        <x:v>NGN-000006</x:v>
      </x:c>
      <x:c r="B7" s="15" t="str">
        <x:v>坂室</x:v>
      </x:c>
      <x:c r="C7" s="15" t="str">
        <x:v>茅野市</x:v>
      </x:c>
      <x:c r="D7" s="15" t="str">
        <x:v>南信</x:v>
      </x:c>
      <x:c r="E7" s="15" t="str">
        <x:v>舗装計画あり・優先度低</x:v>
      </x:c>
      <x:c r="F7" s="15" t="str">
        <x:v>C</x:v>
      </x:c>
      <x:c r="G7" s="15" t="str">
        <x:v>茅野市森林整備計画</x:v>
      </x:c>
      <x:c r="H7" s="15" t="str">
        <x:v>拡張（舗装）</x:v>
      </x:c>
      <x:c r="I7" s="15" t="str">
        <x:v>拡張（舗装） 1,800m</x:v>
      </x:c>
      <x:c r="J7" s="15" t="str">
        <x:v>1,800m</x:v>
      </x:c>
      <x:c r="K7" s="15" t="str">
        <x:v>217</x:v>
      </x:c>
      <x:c r="L7" s="15" t="str">
        <x:v>線形あり</x:v>
      </x:c>
      <x:c r="M7" s="15" t="str">
        <x:v>35.9803993</x:v>
      </x:c>
      <x:c r="N7" s="15" t="str">
        <x:v>138.1592387</x:v>
      </x:c>
      <x:c r="O7" s="15" t="str">
        <x:v>なし</x:v>
      </x:c>
      <x:c r="P7" s="15" t="str"/>
      <x:c r="Q7" s="15" t="str"/>
      <x:c r="R7" s="15" t="str"/>
      <x:c r="S7" s="15" t="str"/>
      <x:c r="T7" s="15" t="str">
        <x:v>未確認</x:v>
      </x:c>
      <x:c r="U7" s="15" t="str">
        <x:v>要確認</x:v>
      </x:c>
      <x:c r="V7" s="15" t="str">
        <x:v>市森林整備計画で整備内容・延長・利用区域を確認。舗装計画記載のため未舗装候補としては低優先。</x:v>
      </x:c>
      <x:c r="W7" s="15" t="str">
        <x:v>通行可否・ゲート・路面は現地未確認。計画記載は施工完了や現況を保証しない。</x:v>
      </x:c>
      <x:c r="X7" s="15" t="str">
        <x:v>茅野市「茅野市森林整備計画書」 https://www.city.chino.lg.jp/uploaded/attachment/28188.pdf</x:v>
      </x:c>
      <x:c r="Y7" s="15" t="str">
        <x:v>OpenStreetMap way name match: 坂室バイパス (way 92624025)</x:v>
      </x:c>
      <x:c r="Z7" s="15" t="str">
        <x:v>https://www.city.chino.lg.jp/uploaded/attachment/28188.pdf</x:v>
      </x:c>
      <x:c r="AA7" s="15" t="str">
        <x:v>2026-07-10</x:v>
      </x:c>
    </x:row>
    <x:row r="8">
      <x:c r="A8" s="15" t="str">
        <x:v>NGN-000007</x:v>
      </x:c>
      <x:c r="B8" s="15" t="str">
        <x:v>天皇林支</x:v>
      </x:c>
      <x:c r="C8" s="15" t="str">
        <x:v>茅野市</x:v>
      </x:c>
      <x:c r="D8" s="15" t="str">
        <x:v>南信</x:v>
      </x:c>
      <x:c r="E8" s="15" t="str">
        <x:v>位置追加調査</x:v>
      </x:c>
      <x:c r="F8" s="15" t="str">
        <x:v>C</x:v>
      </x:c>
      <x:c r="G8" s="15" t="str">
        <x:v>茅野市森林整備計画</x:v>
      </x:c>
      <x:c r="H8" s="15" t="str">
        <x:v>拡張（改良）・法面保全</x:v>
      </x:c>
      <x:c r="I8" s="15" t="str">
        <x:v>拡張（改良）・法面保全 600m・10箇所</x:v>
      </x:c>
      <x:c r="J8" s="15" t="str">
        <x:v>600m・10箇所</x:v>
      </x:c>
      <x:c r="K8" s="15" t="str">
        <x:v>130</x:v>
      </x:c>
      <x:c r="L8" s="15" t="str">
        <x:v>位置未特定</x:v>
      </x:c>
      <x:c r="M8" s="15" t="str"/>
      <x:c r="N8" s="15" t="str"/>
      <x:c r="O8" s="15" t="str">
        <x:v>なし</x:v>
      </x:c>
      <x:c r="P8" s="15" t="str"/>
      <x:c r="Q8" s="15" t="str"/>
      <x:c r="R8" s="15" t="str"/>
      <x:c r="S8" s="15" t="str"/>
      <x:c r="T8" s="15" t="str">
        <x:v>未確認</x:v>
      </x:c>
      <x:c r="U8" s="15" t="str">
        <x:v>要確認</x:v>
      </x:c>
      <x:c r="V8" s="15" t="str">
        <x:v>市森林整備計画で整備内容・延長・利用区域を確認。入口・代表点未特定。</x:v>
      </x:c>
      <x:c r="W8" s="15" t="str">
        <x:v>通行可否・ゲート・路面は現地未確認。</x:v>
      </x:c>
      <x:c r="X8" s="15" t="str">
        <x:v>茅野市「茅野市森林整備計画書」 https://www.city.chino.lg.jp/uploaded/attachment/28188.pdf</x:v>
      </x:c>
      <x:c r="Y8" s="15" t="str"/>
      <x:c r="Z8" s="15" t="str">
        <x:v>https://www.city.chino.lg.jp/uploaded/attachment/28188.pdf</x:v>
      </x:c>
      <x:c r="AA8" s="15" t="str">
        <x:v>2026-07-10</x:v>
      </x:c>
    </x:row>
    <x:row r="9">
      <x:c r="A9" s="15" t="str">
        <x:v>NGN-000008</x:v>
      </x:c>
      <x:c r="B9" s="15" t="str">
        <x:v>大沢山</x:v>
      </x:c>
      <x:c r="C9" s="15" t="str">
        <x:v>茅野市</x:v>
      </x:c>
      <x:c r="D9" s="15" t="str">
        <x:v>南信</x:v>
      </x:c>
      <x:c r="E9" s="15" t="str">
        <x:v>位置追加調査</x:v>
      </x:c>
      <x:c r="F9" s="15" t="str">
        <x:v>C</x:v>
      </x:c>
      <x:c r="G9" s="15" t="str">
        <x:v>茅野市森林整備計画</x:v>
      </x:c>
      <x:c r="H9" s="15" t="str">
        <x:v>拡張（改良）・局部改良</x:v>
      </x:c>
      <x:c r="I9" s="15" t="str">
        <x:v>拡張（改良）・局部改良 1,000m・5箇所</x:v>
      </x:c>
      <x:c r="J9" s="15" t="str">
        <x:v>1,000m・5箇所</x:v>
      </x:c>
      <x:c r="K9" s="15" t="str">
        <x:v>168</x:v>
      </x:c>
      <x:c r="L9" s="15" t="str">
        <x:v>位置未特定</x:v>
      </x:c>
      <x:c r="M9" s="15" t="str"/>
      <x:c r="N9" s="15" t="str"/>
      <x:c r="O9" s="15" t="str">
        <x:v>なし</x:v>
      </x:c>
      <x:c r="P9" s="15" t="str"/>
      <x:c r="Q9" s="15" t="str"/>
      <x:c r="R9" s="15" t="str"/>
      <x:c r="S9" s="15" t="str"/>
      <x:c r="T9" s="15" t="str">
        <x:v>未確認</x:v>
      </x:c>
      <x:c r="U9" s="15" t="str">
        <x:v>要確認</x:v>
      </x:c>
      <x:c r="V9" s="15" t="str">
        <x:v>市森林整備計画で整備内容・延長・利用区域を確認。入口・代表点未特定。</x:v>
      </x:c>
      <x:c r="W9" s="15" t="str">
        <x:v>通行可否・ゲート・路面は現地未確認。</x:v>
      </x:c>
      <x:c r="X9" s="15" t="str">
        <x:v>茅野市「茅野市森林整備計画書」 https://www.city.chino.lg.jp/uploaded/attachment/28188.pdf</x:v>
      </x:c>
      <x:c r="Y9" s="15" t="str"/>
      <x:c r="Z9" s="15" t="str">
        <x:v>https://www.city.chino.lg.jp/uploaded/attachment/28188.pdf</x:v>
      </x:c>
      <x:c r="AA9" s="15" t="str">
        <x:v>2026-07-10</x:v>
      </x:c>
    </x:row>
    <x:row r="10">
      <x:c r="A10" s="15" t="str">
        <x:v>NGN-000009</x:v>
      </x:c>
      <x:c r="B10" s="15" t="str">
        <x:v>高部</x:v>
      </x:c>
      <x:c r="C10" s="15" t="str">
        <x:v>茅野市</x:v>
      </x:c>
      <x:c r="D10" s="15" t="str">
        <x:v>南信</x:v>
      </x:c>
      <x:c r="E10" s="15" t="str">
        <x:v>位置追加調査</x:v>
      </x:c>
      <x:c r="F10" s="15" t="str">
        <x:v>C</x:v>
      </x:c>
      <x:c r="G10" s="15" t="str">
        <x:v>茅野市森林整備計画</x:v>
      </x:c>
      <x:c r="H10" s="15" t="str">
        <x:v>拡張（改良）・局部改良</x:v>
      </x:c>
      <x:c r="I10" s="15" t="str">
        <x:v>拡張（改良）・局部改良 150m・3箇所</x:v>
      </x:c>
      <x:c r="J10" s="15" t="str">
        <x:v>150m・3箇所</x:v>
      </x:c>
      <x:c r="K10" s="15" t="str">
        <x:v>59</x:v>
      </x:c>
      <x:c r="L10" s="15" t="str">
        <x:v>代表点あり</x:v>
      </x:c>
      <x:c r="M10" s="15" t="str">
        <x:v>35.9948235</x:v>
      </x:c>
      <x:c r="N10" s="15" t="str">
        <x:v>138.1279433</x:v>
      </x:c>
      <x:c r="O10" s="15" t="str">
        <x:v>なし</x:v>
      </x:c>
      <x:c r="P10" s="15" t="str"/>
      <x:c r="Q10" s="15" t="str"/>
      <x:c r="R10" s="15" t="str"/>
      <x:c r="S10" s="15" t="str"/>
      <x:c r="T10" s="15" t="str">
        <x:v>未確認</x:v>
      </x:c>
      <x:c r="U10" s="15" t="str">
        <x:v>要確認</x:v>
      </x:c>
      <x:c r="V10" s="15" t="str">
        <x:v>市森林整備計画で整備内容・延長・利用区域を確認。</x:v>
      </x:c>
      <x:c r="W10" s="15" t="str">
        <x:v>通行可否・ゲート・路面は現地未確認。</x:v>
      </x:c>
      <x:c r="X10" s="15" t="str">
        <x:v>茅野市「茅野市森林整備計画書」 https://www.city.chino.lg.jp/uploaded/attachment/28188.pdf</x:v>
      </x:c>
      <x:c r="Y10" s="15" t="str">
        <x:v>OpenStreetMap Nominatim: 高部; 茅野市内の地名代表点</x:v>
      </x:c>
      <x:c r="Z10" s="15" t="str">
        <x:v>https://www.city.chino.lg.jp/uploaded/attachment/28188.pdf</x:v>
      </x:c>
      <x:c r="AA10" s="15" t="str">
        <x:v>2026-07-10</x:v>
      </x:c>
    </x:row>
    <x:row r="11">
      <x:c r="A11" s="15" t="str">
        <x:v>NGN-000010</x:v>
      </x:c>
      <x:c r="B11" s="15" t="str">
        <x:v>猿ヶ入</x:v>
      </x:c>
      <x:c r="C11" s="15" t="str">
        <x:v>茅野市</x:v>
      </x:c>
      <x:c r="D11" s="15" t="str">
        <x:v>南信</x:v>
      </x:c>
      <x:c r="E11" s="15" t="str">
        <x:v>次点候補</x:v>
      </x:c>
      <x:c r="F11" s="15" t="str">
        <x:v>B</x:v>
      </x:c>
      <x:c r="G11" s="15" t="str">
        <x:v>茅野市森林整備計画</x:v>
      </x:c>
      <x:c r="H11" s="15" t="str">
        <x:v>拡張（改良）・局部改良</x:v>
      </x:c>
      <x:c r="I11" s="15" t="str">
        <x:v>拡張（改良）・局部改良 50m・1箇所</x:v>
      </x:c>
      <x:c r="J11" s="15" t="str">
        <x:v>50m・1箇所</x:v>
      </x:c>
      <x:c r="K11" s="15" t="str">
        <x:v>67</x:v>
      </x:c>
      <x:c r="L11" s="15" t="str">
        <x:v>線形あり</x:v>
      </x:c>
      <x:c r="M11" s="15" t="str">
        <x:v>35.9482940</x:v>
      </x:c>
      <x:c r="N11" s="15" t="str">
        <x:v>138.1542560</x:v>
      </x:c>
      <x:c r="O11" s="15" t="str">
        <x:v>あり</x:v>
      </x:c>
      <x:c r="P11" s="15" t="str">
        <x:v>track</x:v>
      </x:c>
      <x:c r="Q11" s="15" t="str"/>
      <x:c r="R11" s="15" t="str">
        <x:v>grade2</x:v>
      </x:c>
      <x:c r="S11" s="15" t="str">
        <x:v>146988886</x:v>
      </x:c>
      <x:c r="T11" s="15" t="str">
        <x:v>強</x:v>
      </x:c>
      <x:c r="U11" s="15" t="str">
        <x:v>要確認</x:v>
      </x:c>
      <x:c r="V11" s="15" t="str">
        <x:v>市森林整備計画で整備内容・延長・利用区域を確認。OSM名前一致を市町村境界で確認。trackまたは未舗装系タグあり。</x:v>
      </x:c>
      <x:c r="W11" s="15" t="str">
        <x:v>通行可否・ゲート・路面は現地未確認。</x:v>
      </x:c>
      <x:c r="X11" s="15" t="str">
        <x:v>茅野市「茅野市森林整備計画書」 https://www.city.chino.lg.jp/uploaded/attachment/28188.pdf</x:v>
      </x:c>
      <x:c r="Y11" s="15" t="str">
        <x:v>OpenStreetMap way name match: 林道猿ヶ入線 (way 146988886)</x:v>
      </x:c>
      <x:c r="Z11" s="15" t="str">
        <x:v>https://www.city.chino.lg.jp/uploaded/attachment/28188.pdf</x:v>
      </x:c>
      <x:c r="AA11" s="15" t="str">
        <x:v>2026-07-10</x:v>
      </x:c>
    </x:row>
    <x:row r="12">
      <x:c r="A12" s="15" t="str">
        <x:v>NGN-000011</x:v>
      </x:c>
      <x:c r="B12" s="15" t="str">
        <x:v>棚嵐線</x:v>
      </x:c>
      <x:c r="C12" s="15" t="str">
        <x:v>諏訪市</x:v>
      </x:c>
      <x:c r="D12" s="15" t="str">
        <x:v>南信</x:v>
      </x:c>
      <x:c r="E12" s="15" t="str">
        <x:v>位置追加調査</x:v>
      </x:c>
      <x:c r="F12" s="15" t="str">
        <x:v>C</x:v>
      </x:c>
      <x:c r="G12" s="15" t="str">
        <x:v>諏訪市森林整備計画</x:v>
      </x:c>
      <x:c r="H12" s="15" t="str">
        <x:v>開設</x:v>
      </x:c>
      <x:c r="I12" s="15" t="str">
        <x:v>開設 3,300m</x:v>
      </x:c>
      <x:c r="J12" s="15" t="str">
        <x:v>3,300m</x:v>
      </x:c>
      <x:c r="K12" s="15" t="str">
        <x:v>106</x:v>
      </x:c>
      <x:c r="L12" s="15" t="str">
        <x:v>代表点あり</x:v>
      </x:c>
      <x:c r="M12" s="15" t="str">
        <x:v>35.9908150</x:v>
      </x:c>
      <x:c r="N12" s="15" t="str">
        <x:v>138.1307040</x:v>
      </x:c>
      <x:c r="O12" s="15" t="str">
        <x:v>なし</x:v>
      </x:c>
      <x:c r="P12" s="15" t="str"/>
      <x:c r="Q12" s="15" t="str"/>
      <x:c r="R12" s="15" t="str"/>
      <x:c r="S12" s="15" t="str"/>
      <x:c r="T12" s="15" t="str">
        <x:v>未確認</x:v>
      </x:c>
      <x:c r="U12" s="15" t="str">
        <x:v>要確認</x:v>
      </x:c>
      <x:c r="V12" s="15" t="str">
        <x:v>市森林整備計画で整備内容・延長・利用区域を確認。</x:v>
      </x:c>
      <x:c r="W12" s="15" t="str">
        <x:v>通行可否・ゲート・路面は現地未確認。</x:v>
      </x:c>
      <x:c r="X12" s="15" t="str">
        <x:v>諏訪市「諏訪市森林整備計画 変更計画書」 https://www.city.suwa.lg.jp/uploaded/life/74090_150401_misc.pdf</x:v>
      </x:c>
      <x:c r="Y12" s="15" t="str">
        <x:v>諏訪市森林整備計画 1/7 概要図 ①から代表点を採取</x:v>
      </x:c>
      <x:c r="Z12" s="15" t="str">
        <x:v>https://www.city.suwa.lg.jp/uploaded/life/74090_150401_misc.pdf</x:v>
      </x:c>
      <x:c r="AA12" s="15" t="str">
        <x:v>2026-07-10</x:v>
      </x:c>
    </x:row>
    <x:row r="13">
      <x:c r="A13" s="15" t="str">
        <x:v>NGN-000012</x:v>
      </x:c>
      <x:c r="B13" s="15" t="str">
        <x:v>赤ジッコ線</x:v>
      </x:c>
      <x:c r="C13" s="15" t="str">
        <x:v>諏訪市</x:v>
      </x:c>
      <x:c r="D13" s="15" t="str">
        <x:v>南信</x:v>
      </x:c>
      <x:c r="E13" s="15" t="str">
        <x:v>位置追加調査</x:v>
      </x:c>
      <x:c r="F13" s="15" t="str">
        <x:v>C</x:v>
      </x:c>
      <x:c r="G13" s="15" t="str">
        <x:v>諏訪市森林整備計画</x:v>
      </x:c>
      <x:c r="H13" s="15" t="str">
        <x:v>拡張（改良）・法面保全</x:v>
      </x:c>
      <x:c r="I13" s="15" t="str">
        <x:v>拡張（改良）・法面保全 1,000m・10箇所</x:v>
      </x:c>
      <x:c r="J13" s="15" t="str">
        <x:v>1,000m・10箇所</x:v>
      </x:c>
      <x:c r="K13" s="15" t="str">
        <x:v>197</x:v>
      </x:c>
      <x:c r="L13" s="15" t="str">
        <x:v>代表点あり</x:v>
      </x:c>
      <x:c r="M13" s="15" t="str">
        <x:v>35.9519610</x:v>
      </x:c>
      <x:c r="N13" s="15" t="str">
        <x:v>138.0599670</x:v>
      </x:c>
      <x:c r="O13" s="15" t="str">
        <x:v>なし</x:v>
      </x:c>
      <x:c r="P13" s="15" t="str"/>
      <x:c r="Q13" s="15" t="str"/>
      <x:c r="R13" s="15" t="str"/>
      <x:c r="S13" s="15" t="str"/>
      <x:c r="T13" s="15" t="str">
        <x:v>未確認</x:v>
      </x:c>
      <x:c r="U13" s="15" t="str">
        <x:v>要確認</x:v>
      </x:c>
      <x:c r="V13" s="15" t="str">
        <x:v>市森林整備計画で整備内容・延長・利用区域を確認。</x:v>
      </x:c>
      <x:c r="W13" s="15" t="str">
        <x:v>通行可否・ゲート・路面は現地未確認。</x:v>
      </x:c>
      <x:c r="X13" s="15" t="str">
        <x:v>諏訪市「諏訪市森林整備計画 変更計画書」 https://www.city.suwa.lg.jp/uploaded/life/74090_150401_misc.pdf</x:v>
      </x:c>
      <x:c r="Y13" s="15" t="str">
        <x:v>諏訪市森林整備計画 1/7 概要図 ②から代表点を採取</x:v>
      </x:c>
      <x:c r="Z13" s="15" t="str">
        <x:v>https://www.city.suwa.lg.jp/uploaded/life/74090_150401_misc.pdf</x:v>
      </x:c>
      <x:c r="AA13" s="15" t="str">
        <x:v>2026-07-10</x:v>
      </x:c>
    </x:row>
    <x:row r="14">
      <x:c r="A14" s="15" t="str">
        <x:v>NGN-000013</x:v>
      </x:c>
      <x:c r="B14" s="15" t="str">
        <x:v>扇平南峠線</x:v>
      </x:c>
      <x:c r="C14" s="15" t="str">
        <x:v>諏訪市</x:v>
      </x:c>
      <x:c r="D14" s="15" t="str">
        <x:v>南信</x:v>
      </x:c>
      <x:c r="E14" s="15" t="str">
        <x:v>舗装計画あり・優先度低</x:v>
      </x:c>
      <x:c r="F14" s="15" t="str">
        <x:v>C</x:v>
      </x:c>
      <x:c r="G14" s="15" t="str">
        <x:v>諏訪市森林整備計画</x:v>
      </x:c>
      <x:c r="H14" s="15" t="str">
        <x:v>拡張（改良・舗装）</x:v>
      </x:c>
      <x:c r="I14" s="15" t="str">
        <x:v>拡張（改良・舗装） 改良200m・2箇所／舗装1,000m</x:v>
      </x:c>
      <x:c r="J14" s="15" t="str">
        <x:v>改良200m・2箇所／舗装1,000m</x:v>
      </x:c>
      <x:c r="K14" s="15" t="str">
        <x:v>125</x:v>
      </x:c>
      <x:c r="L14" s="15" t="str">
        <x:v>線形あり</x:v>
      </x:c>
      <x:c r="M14" s="15" t="str">
        <x:v>36.0899680</x:v>
      </x:c>
      <x:c r="N14" s="15" t="str">
        <x:v>138.1772840</x:v>
      </x:c>
      <x:c r="O14" s="15" t="str">
        <x:v>なし</x:v>
      </x:c>
      <x:c r="P14" s="15" t="str"/>
      <x:c r="Q14" s="15" t="str"/>
      <x:c r="R14" s="15" t="str"/>
      <x:c r="S14" s="15" t="str"/>
      <x:c r="T14" s="15" t="str">
        <x:v>未確認</x:v>
      </x:c>
      <x:c r="U14" s="15" t="str">
        <x:v>要確認</x:v>
      </x:c>
      <x:c r="V14" s="15" t="str">
        <x:v>市森林整備計画で整備内容・延長・利用区域を確認。舗装計画記載のため未舗装候補としては低優先。</x:v>
      </x:c>
      <x:c r="W14" s="15" t="str">
        <x:v>通行可否・ゲート・路面は現地未確認。計画記載は施工完了や現況を保証しない。</x:v>
      </x:c>
      <x:c r="X14" s="15" t="str">
        <x:v>諏訪市「諏訪市森林整備計画 変更計画書」 https://www.city.suwa.lg.jp/uploaded/life/74090_150401_misc.pdf</x:v>
      </x:c>
      <x:c r="Y14" s="15" t="str">
        <x:v>諏訪市森林整備計画 1/7 概要図 ③/⑦から代表点を採取</x:v>
      </x:c>
      <x:c r="Z14" s="15" t="str">
        <x:v>https://www.city.suwa.lg.jp/uploaded/life/74090_150401_misc.pdf</x:v>
      </x:c>
      <x:c r="AA14" s="15" t="str">
        <x:v>2026-07-10</x:v>
      </x:c>
    </x:row>
    <x:row r="15">
      <x:c r="A15" s="15" t="str">
        <x:v>NGN-000014</x:v>
      </x:c>
      <x:c r="B15" s="15" t="str">
        <x:v>付上線</x:v>
      </x:c>
      <x:c r="C15" s="15" t="str">
        <x:v>諏訪市</x:v>
      </x:c>
      <x:c r="D15" s="15" t="str">
        <x:v>南信</x:v>
      </x:c>
      <x:c r="E15" s="15" t="str">
        <x:v>位置追加調査</x:v>
      </x:c>
      <x:c r="F15" s="15" t="str">
        <x:v>C</x:v>
      </x:c>
      <x:c r="G15" s="15" t="str">
        <x:v>諏訪市森林整備計画</x:v>
      </x:c>
      <x:c r="H15" s="15" t="str">
        <x:v>拡張（改良）・局部改良</x:v>
      </x:c>
      <x:c r="I15" s="15" t="str">
        <x:v>拡張（改良）・局部改良 60m・2箇所</x:v>
      </x:c>
      <x:c r="J15" s="15" t="str">
        <x:v>60m・2箇所</x:v>
      </x:c>
      <x:c r="K15" s="15" t="str">
        <x:v>68</x:v>
      </x:c>
      <x:c r="L15" s="15" t="str">
        <x:v>代表点あり</x:v>
      </x:c>
      <x:c r="M15" s="15" t="str">
        <x:v>35.9600350</x:v>
      </x:c>
      <x:c r="N15" s="15" t="str">
        <x:v>138.0675460</x:v>
      </x:c>
      <x:c r="O15" s="15" t="str">
        <x:v>なし</x:v>
      </x:c>
      <x:c r="P15" s="15" t="str"/>
      <x:c r="Q15" s="15" t="str"/>
      <x:c r="R15" s="15" t="str"/>
      <x:c r="S15" s="15" t="str"/>
      <x:c r="T15" s="15" t="str">
        <x:v>未確認</x:v>
      </x:c>
      <x:c r="U15" s="15" t="str">
        <x:v>要確認</x:v>
      </x:c>
      <x:c r="V15" s="15" t="str">
        <x:v>市森林整備計画で整備内容・延長・利用区域を確認。</x:v>
      </x:c>
      <x:c r="W15" s="15" t="str">
        <x:v>通行可否・ゲート・路面は現地未確認。</x:v>
      </x:c>
      <x:c r="X15" s="15" t="str">
        <x:v>諏訪市「諏訪市森林整備計画 変更計画書」 https://www.city.suwa.lg.jp/uploaded/life/74090_150401_misc.pdf</x:v>
      </x:c>
      <x:c r="Y15" s="15" t="str">
        <x:v>諏訪市森林整備計画 1/7 概要図 ⑧から代表点を採取</x:v>
      </x:c>
      <x:c r="Z15" s="15" t="str">
        <x:v>https://www.city.suwa.lg.jp/uploaded/life/74090_150401_misc.pdf</x:v>
      </x:c>
      <x:c r="AA15" s="15" t="str">
        <x:v>2026-07-10</x:v>
      </x:c>
    </x:row>
    <x:row r="16">
      <x:c r="A16" s="15" t="str">
        <x:v>NGN-000015</x:v>
      </x:c>
      <x:c r="B16" s="15" t="str">
        <x:v>科ノ木線</x:v>
      </x:c>
      <x:c r="C16" s="15" t="str">
        <x:v>諏訪市</x:v>
      </x:c>
      <x:c r="D16" s="15" t="str">
        <x:v>南信</x:v>
      </x:c>
      <x:c r="E16" s="15" t="str">
        <x:v>舗装計画あり・優先度低</x:v>
      </x:c>
      <x:c r="F16" s="15" t="str">
        <x:v>C</x:v>
      </x:c>
      <x:c r="G16" s="15" t="str">
        <x:v>諏訪市森林整備計画</x:v>
      </x:c>
      <x:c r="H16" s="15" t="str">
        <x:v>拡張（舗装）</x:v>
      </x:c>
      <x:c r="I16" s="15" t="str">
        <x:v>拡張（舗装） 2,500m</x:v>
      </x:c>
      <x:c r="J16" s="15" t="str">
        <x:v>2,500m</x:v>
      </x:c>
      <x:c r="K16" s="15" t="str">
        <x:v>103</x:v>
      </x:c>
      <x:c r="L16" s="15" t="str">
        <x:v>代表点あり</x:v>
      </x:c>
      <x:c r="M16" s="15" t="str">
        <x:v>36.1136840</x:v>
      </x:c>
      <x:c r="N16" s="15" t="str">
        <x:v>138.1894420</x:v>
      </x:c>
      <x:c r="O16" s="15" t="str">
        <x:v>なし</x:v>
      </x:c>
      <x:c r="P16" s="15" t="str"/>
      <x:c r="Q16" s="15" t="str"/>
      <x:c r="R16" s="15" t="str"/>
      <x:c r="S16" s="15" t="str"/>
      <x:c r="T16" s="15" t="str">
        <x:v>未確認</x:v>
      </x:c>
      <x:c r="U16" s="15" t="str">
        <x:v>要確認</x:v>
      </x:c>
      <x:c r="V16" s="15" t="str">
        <x:v>市森林整備計画で整備内容・延長・利用区域を確認。舗装計画記載のため未舗装候補としては低優先。</x:v>
      </x:c>
      <x:c r="W16" s="15" t="str">
        <x:v>通行可否・ゲート・路面は現地未確認。計画記載は施工完了や現況を保証しない。</x:v>
      </x:c>
      <x:c r="X16" s="15" t="str">
        <x:v>諏訪市「諏訪市森林整備計画 変更計画書」 https://www.city.suwa.lg.jp/uploaded/life/74090_150401_misc.pdf</x:v>
      </x:c>
      <x:c r="Y16" s="15" t="str">
        <x:v>諏訪市森林整備計画 1/7 概要図 ④から代表点を採取</x:v>
      </x:c>
      <x:c r="Z16" s="15" t="str">
        <x:v>https://www.city.suwa.lg.jp/uploaded/life/74090_150401_misc.pdf</x:v>
      </x:c>
      <x:c r="AA16" s="15" t="str">
        <x:v>2026-07-10</x:v>
      </x:c>
    </x:row>
    <x:row r="17">
      <x:c r="A17" s="15" t="str">
        <x:v>NGN-000016</x:v>
      </x:c>
      <x:c r="B17" s="15" t="str">
        <x:v>日向入山線</x:v>
      </x:c>
      <x:c r="C17" s="15" t="str">
        <x:v>諏訪市</x:v>
      </x:c>
      <x:c r="D17" s="15" t="str">
        <x:v>南信</x:v>
      </x:c>
      <x:c r="E17" s="15" t="str">
        <x:v>舗装計画あり・優先度低</x:v>
      </x:c>
      <x:c r="F17" s="15" t="str">
        <x:v>C</x:v>
      </x:c>
      <x:c r="G17" s="15" t="str">
        <x:v>諏訪市森林整備計画</x:v>
      </x:c>
      <x:c r="H17" s="15" t="str">
        <x:v>拡張（舗装）</x:v>
      </x:c>
      <x:c r="I17" s="15" t="str">
        <x:v>拡張（舗装） 2,000m</x:v>
      </x:c>
      <x:c r="J17" s="15" t="str">
        <x:v>2,000m</x:v>
      </x:c>
      <x:c r="K17" s="15" t="str">
        <x:v>315</x:v>
      </x:c>
      <x:c r="L17" s="15" t="str">
        <x:v>代表点あり</x:v>
      </x:c>
      <x:c r="M17" s="15" t="str">
        <x:v>35.9489330</x:v>
      </x:c>
      <x:c r="N17" s="15" t="str">
        <x:v>138.0871250</x:v>
      </x:c>
      <x:c r="O17" s="15" t="str">
        <x:v>なし</x:v>
      </x:c>
      <x:c r="P17" s="15" t="str"/>
      <x:c r="Q17" s="15" t="str"/>
      <x:c r="R17" s="15" t="str"/>
      <x:c r="S17" s="15" t="str"/>
      <x:c r="T17" s="15" t="str">
        <x:v>未確認</x:v>
      </x:c>
      <x:c r="U17" s="15" t="str">
        <x:v>要確認</x:v>
      </x:c>
      <x:c r="V17" s="15" t="str">
        <x:v>市森林整備計画で整備内容・延長・利用区域を確認。舗装計画記載のため未舗装候補としては低優先。</x:v>
      </x:c>
      <x:c r="W17" s="15" t="str">
        <x:v>通行可否・ゲート・路面は現地未確認。計画記載は施工完了や現況を保証しない。</x:v>
      </x:c>
      <x:c r="X17" s="15" t="str">
        <x:v>諏訪市「諏訪市森林整備計画 変更計画書」 https://www.city.suwa.lg.jp/uploaded/life/74090_150401_misc.pdf</x:v>
      </x:c>
      <x:c r="Y17" s="15" t="str">
        <x:v>諏訪市森林整備計画 1/7 概要図 ⑤から代表点を採取</x:v>
      </x:c>
      <x:c r="Z17" s="15" t="str">
        <x:v>https://www.city.suwa.lg.jp/uploaded/life/74090_150401_misc.pdf</x:v>
      </x:c>
      <x:c r="AA17" s="15" t="str">
        <x:v>2026-07-10</x:v>
      </x:c>
    </x:row>
    <x:row r="18">
      <x:c r="A18" s="15" t="str">
        <x:v>NGN-000017</x:v>
      </x:c>
      <x:c r="B18" s="15" t="str">
        <x:v>上後２号線</x:v>
      </x:c>
      <x:c r="C18" s="15" t="str">
        <x:v>諏訪市</x:v>
      </x:c>
      <x:c r="D18" s="15" t="str">
        <x:v>南信</x:v>
      </x:c>
      <x:c r="E18" s="15" t="str">
        <x:v>舗装計画あり・優先度低</x:v>
      </x:c>
      <x:c r="F18" s="15" t="str">
        <x:v>C</x:v>
      </x:c>
      <x:c r="G18" s="15" t="str">
        <x:v>諏訪市森林整備計画</x:v>
      </x:c>
      <x:c r="H18" s="15" t="str">
        <x:v>拡張（舗装）</x:v>
      </x:c>
      <x:c r="I18" s="15" t="str">
        <x:v>拡張（舗装） 1,500m</x:v>
      </x:c>
      <x:c r="J18" s="15" t="str">
        <x:v>1,500m</x:v>
      </x:c>
      <x:c r="K18" s="15" t="str">
        <x:v>34</x:v>
      </x:c>
      <x:c r="L18" s="15" t="str">
        <x:v>代表点あり</x:v>
      </x:c>
      <x:c r="M18" s="15" t="str">
        <x:v>35.9933380</x:v>
      </x:c>
      <x:c r="N18" s="15" t="str">
        <x:v>138.0640720</x:v>
      </x:c>
      <x:c r="O18" s="15" t="str">
        <x:v>なし</x:v>
      </x:c>
      <x:c r="P18" s="15" t="str"/>
      <x:c r="Q18" s="15" t="str"/>
      <x:c r="R18" s="15" t="str"/>
      <x:c r="S18" s="15" t="str"/>
      <x:c r="T18" s="15" t="str">
        <x:v>未確認</x:v>
      </x:c>
      <x:c r="U18" s="15" t="str">
        <x:v>要確認</x:v>
      </x:c>
      <x:c r="V18" s="15" t="str">
        <x:v>市森林整備計画で整備内容・延長・利用区域を確認。舗装計画記載のため未舗装候補としては低優先。</x:v>
      </x:c>
      <x:c r="W18" s="15" t="str">
        <x:v>通行可否・ゲート・路面は現地未確認。計画記載は施工完了や現況を保証しない。</x:v>
      </x:c>
      <x:c r="X18" s="15" t="str">
        <x:v>諏訪市「諏訪市森林整備計画 変更計画書」 https://www.city.suwa.lg.jp/uploaded/life/74090_150401_misc.pdf</x:v>
      </x:c>
      <x:c r="Y18" s="15" t="str">
        <x:v>諏訪市森林整備計画 1/7 概要図 ⑥から代表点を採取</x:v>
      </x:c>
      <x:c r="Z18" s="15" t="str">
        <x:v>https://www.city.suwa.lg.jp/uploaded/life/74090_150401_misc.pdf</x:v>
      </x:c>
      <x:c r="AA18" s="15" t="str">
        <x:v>2026-07-10</x:v>
      </x:c>
    </x:row>
    <x:row r="19">
      <x:c r="A19" s="15" t="str">
        <x:v>NGN-000018</x:v>
      </x:c>
      <x:c r="B19" s="15" t="str">
        <x:v>鹿曲川線</x:v>
      </x:c>
      <x:c r="C19" s="15" t="str">
        <x:v>佐久市</x:v>
      </x:c>
      <x:c r="D19" s="15" t="str">
        <x:v>東信</x:v>
      </x:c>
      <x:c r="E19" s="15" t="str">
        <x:v>行政履歴確認済み</x:v>
      </x:c>
      <x:c r="F19" s="15" t="str">
        <x:v>D</x:v>
      </x:c>
      <x:c r="G19" s="15" t="str">
        <x:v>R2-R6第2回変更</x:v>
      </x:c>
      <x:c r="H19" s="15" t="str"/>
      <x:c r="I19" s="15" t="str"/>
      <x:c r="J19" s="15" t="str"/>
      <x:c r="K19" s="15" t="str"/>
      <x:c r="L19" s="15" t="str">
        <x:v>位置未特定</x:v>
      </x:c>
      <x:c r="M19" s="15" t="str"/>
      <x:c r="N19" s="15" t="str"/>
      <x:c r="O19" s="15" t="str">
        <x:v>なし</x:v>
      </x:c>
      <x:c r="P19" s="15" t="str"/>
      <x:c r="Q19" s="15" t="str"/>
      <x:c r="R19" s="15" t="str"/>
      <x:c r="S19" s="15" t="str"/>
      <x:c r="T19" s="15" t="str">
        <x:v>未確認</x:v>
      </x:c>
      <x:c r="U19" s="15" t="str">
        <x:v>要確認</x:v>
      </x:c>
      <x:c r="V19" s="15" t="str">
        <x:v>入口・代表点未特定。</x:v>
      </x:c>
      <x:c r="W19" s="15" t="str">
        <x:v>通行可否・ゲート・路面は現地未確認。</x:v>
      </x:c>
      <x:c r="X19" s="15" t="str">
        <x:v>長野県「農山漁村地域整備計画の変更（第2回）」 https://www.pref.nagano.lg.jp/ringyo/documents/2022_01keikaku.pdf</x:v>
      </x:c>
      <x:c r="Y19" s="15" t="str"/>
      <x:c r="Z19" s="15" t="str">
        <x:v>長野県「農山漁村地域整備計画の変更（第2回）」 https://www.pref.nagano.lg.jp/ringyo/documents/2022_01keikaku.pdf</x:v>
      </x:c>
      <x:c r="AA19" s="15" t="str">
        <x:v>2026-07-10</x:v>
      </x:c>
    </x:row>
    <x:row r="20">
      <x:c r="A20" s="15" t="str">
        <x:v>NGN-000019</x:v>
      </x:c>
      <x:c r="B20" s="15" t="str">
        <x:v>山口沢線</x:v>
      </x:c>
      <x:c r="C20" s="15" t="str">
        <x:v>佐久市</x:v>
      </x:c>
      <x:c r="D20" s="15" t="str">
        <x:v>東信</x:v>
      </x:c>
      <x:c r="E20" s="15" t="str">
        <x:v>行政履歴確認済み</x:v>
      </x:c>
      <x:c r="F20" s="15" t="str">
        <x:v>D</x:v>
      </x:c>
      <x:c r="G20" s="15" t="str">
        <x:v>R2-R6第2回変更</x:v>
      </x:c>
      <x:c r="H20" s="15" t="str"/>
      <x:c r="I20" s="15" t="str"/>
      <x:c r="J20" s="15" t="str"/>
      <x:c r="K20" s="15" t="str"/>
      <x:c r="L20" s="15" t="str">
        <x:v>位置未特定</x:v>
      </x:c>
      <x:c r="M20" s="15" t="str"/>
      <x:c r="N20" s="15" t="str"/>
      <x:c r="O20" s="15" t="str">
        <x:v>なし</x:v>
      </x:c>
      <x:c r="P20" s="15" t="str"/>
      <x:c r="Q20" s="15" t="str"/>
      <x:c r="R20" s="15" t="str"/>
      <x:c r="S20" s="15" t="str"/>
      <x:c r="T20" s="15" t="str">
        <x:v>未確認</x:v>
      </x:c>
      <x:c r="U20" s="15" t="str">
        <x:v>要確認</x:v>
      </x:c>
      <x:c r="V20" s="15" t="str">
        <x:v>入口・代表点未特定。</x:v>
      </x:c>
      <x:c r="W20" s="15" t="str">
        <x:v>通行可否・ゲート・路面は現地未確認。</x:v>
      </x:c>
      <x:c r="X20" s="15" t="str">
        <x:v>長野県「農山漁村地域整備計画の変更（第2回）」 https://www.pref.nagano.lg.jp/ringyo/documents/2022_01keikaku.pdf</x:v>
      </x:c>
      <x:c r="Y20" s="15" t="str"/>
      <x:c r="Z20" s="15" t="str">
        <x:v>長野県「農山漁村地域整備計画の変更（第2回）」 https://www.pref.nagano.lg.jp/ringyo/documents/2022_01keikaku.pdf</x:v>
      </x:c>
      <x:c r="AA20" s="15" t="str">
        <x:v>2026-07-10</x:v>
      </x:c>
    </x:row>
    <x:row r="21">
      <x:c r="A21" s="15" t="str">
        <x:v>NGN-000020</x:v>
      </x:c>
      <x:c r="B21" s="15" t="str">
        <x:v>八ヶ岳線</x:v>
      </x:c>
      <x:c r="C21" s="15" t="str">
        <x:v>南牧村</x:v>
      </x:c>
      <x:c r="D21" s="15" t="str">
        <x:v>東信</x:v>
      </x:c>
      <x:c r="E21" s="15" t="str">
        <x:v>位置追加調査</x:v>
      </x:c>
      <x:c r="F21" s="15" t="str">
        <x:v>C</x:v>
      </x:c>
      <x:c r="G21" s="15" t="str">
        <x:v>R7-R11</x:v>
      </x:c>
      <x:c r="H21" s="15" t="str">
        <x:v>林道改良事業</x:v>
      </x:c>
      <x:c r="I21" s="15" t="str">
        <x:v>林道改良事業（改良L=150ｍ）</x:v>
      </x:c>
      <x:c r="J21" s="15" t="str"/>
      <x:c r="K21" s="15" t="str"/>
      <x:c r="L21" s="15" t="str">
        <x:v>位置未特定</x:v>
      </x:c>
      <x:c r="M21" s="15" t="str"/>
      <x:c r="N21" s="15" t="str"/>
      <x:c r="O21" s="15" t="str">
        <x:v>なし</x:v>
      </x:c>
      <x:c r="P21" s="15" t="str"/>
      <x:c r="Q21" s="15" t="str"/>
      <x:c r="R21" s="15" t="str"/>
      <x:c r="S21" s="15" t="str"/>
      <x:c r="T21" s="15" t="str">
        <x:v>未確認</x:v>
      </x:c>
      <x:c r="U21" s="15" t="str">
        <x:v>要確認</x:v>
      </x:c>
      <x:c r="V21" s="15" t="str">
        <x:v>長野県R7-R11計画掲載。入口・代表点未特定。</x:v>
      </x:c>
      <x:c r="W21" s="15" t="str">
        <x:v>通行可否・ゲート・路面は現地未確認。</x:v>
      </x:c>
      <x:c r="X21" s="15" t="str">
        <x:v>長野県「農山漁村地域整備計画の変更（第2回）」 https://www.pref.nagano.lg.jp/ringyo/documents/2022_01keikaku.pdf</x:v>
      </x:c>
      <x:c r="Y21" s="15" t="str"/>
      <x:c r="Z21" s="15" t="str">
        <x:v>https://www.pref.nagano.lg.jp/ringyo/documents/sinkeikaku2025.pdf</x:v>
      </x:c>
      <x:c r="AA21" s="15" t="str">
        <x:v>2026-07-10</x:v>
      </x:c>
    </x:row>
    <x:row r="22">
      <x:c r="A22" s="15" t="str">
        <x:v>NGN-000021</x:v>
      </x:c>
      <x:c r="B22" s="15" t="str">
        <x:v>横河山線</x:v>
      </x:c>
      <x:c r="C22" s="15" t="str">
        <x:v>岡谷市</x:v>
      </x:c>
      <x:c r="D22" s="15" t="str">
        <x:v>南信</x:v>
      </x:c>
      <x:c r="E22" s="15" t="str">
        <x:v>次点候補</x:v>
      </x:c>
      <x:c r="F22" s="15" t="str">
        <x:v>B</x:v>
      </x:c>
      <x:c r="G22" s="15" t="str">
        <x:v>R7-R11</x:v>
      </x:c>
      <x:c r="H22" s="15" t="str">
        <x:v>林道点検診断・保全整備事業</x:v>
      </x:c>
      <x:c r="I22" s="15" t="str">
        <x:v>点検診断・保全整備（点検診断L=63m）</x:v>
      </x:c>
      <x:c r="J22" s="15" t="str"/>
      <x:c r="K22" s="15" t="str"/>
      <x:c r="L22" s="15" t="str">
        <x:v>OSM名前一致代表点</x:v>
      </x:c>
      <x:c r="M22" s="15" t="str">
        <x:v>36.1225085</x:v>
      </x:c>
      <x:c r="N22" s="15" t="str">
        <x:v>138.0564630</x:v>
      </x:c>
      <x:c r="O22" s="15" t="str">
        <x:v>あり</x:v>
      </x:c>
      <x:c r="P22" s="15" t="str">
        <x:v>track</x:v>
      </x:c>
      <x:c r="Q22" s="15" t="str"/>
      <x:c r="R22" s="15" t="str"/>
      <x:c r="S22" s="15" t="str">
        <x:v>142724564/142724792</x:v>
      </x:c>
      <x:c r="T22" s="15" t="str">
        <x:v>中</x:v>
      </x:c>
      <x:c r="U22" s="15" t="str">
        <x:v>要確認</x:v>
      </x:c>
      <x:c r="V22" s="15" t="str">
        <x:v>長野県R7-R11計画掲載。OSM名前一致を市町村境界で確認。</x:v>
      </x:c>
      <x:c r="W22" s="15" t="str">
        <x:v>通行可否・ゲート・路面は現地未確認。</x:v>
      </x:c>
      <x:c r="X22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22" s="15" t="str">
        <x:v>OpenStreetMap way 142724564（名前一致・市町村境界確認済み）</x:v>
      </x:c>
      <x:c r="Z22" s="15" t="str">
        <x:v>https://www.pref.nagano.lg.jp/ringyo/documents/sinkeikaku2025.pdf</x:v>
      </x:c>
      <x:c r="AA22" s="15" t="str">
        <x:v>2026-07-10</x:v>
      </x:c>
    </x:row>
    <x:row r="23">
      <x:c r="A23" s="15" t="str">
        <x:v>NGN-000022</x:v>
      </x:c>
      <x:c r="B23" s="15" t="str">
        <x:v>砥沢線</x:v>
      </x:c>
      <x:c r="C23" s="15" t="str">
        <x:v>下諏訪町</x:v>
      </x:c>
      <x:c r="D23" s="15" t="str">
        <x:v>南信</x:v>
      </x:c>
      <x:c r="E23" s="15" t="str">
        <x:v>行政履歴確認済み</x:v>
      </x:c>
      <x:c r="F23" s="15" t="str">
        <x:v>D</x:v>
      </x:c>
      <x:c r="G23" s="15" t="str">
        <x:v>R2-R6／R2-R6第2回変更</x:v>
      </x:c>
      <x:c r="H23" s="15" t="str"/>
      <x:c r="I23" s="15" t="str"/>
      <x:c r="J23" s="15" t="str"/>
      <x:c r="K23" s="15" t="str"/>
      <x:c r="L23" s="15" t="str">
        <x:v>位置未特定</x:v>
      </x:c>
      <x:c r="M23" s="15" t="str"/>
      <x:c r="N23" s="15" t="str"/>
      <x:c r="O23" s="15" t="str">
        <x:v>なし</x:v>
      </x:c>
      <x:c r="P23" s="15" t="str"/>
      <x:c r="Q23" s="15" t="str"/>
      <x:c r="R23" s="15" t="str"/>
      <x:c r="S23" s="15" t="str"/>
      <x:c r="T23" s="15" t="str">
        <x:v>未確認</x:v>
      </x:c>
      <x:c r="U23" s="15" t="str">
        <x:v>要確認</x:v>
      </x:c>
      <x:c r="V23" s="15" t="str">
        <x:v>入口・代表点未特定。</x:v>
      </x:c>
      <x:c r="W23" s="15" t="str">
        <x:v>通行可否・ゲート・路面は現地未確認。</x:v>
      </x:c>
      <x:c r="X23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23" s="15" t="str"/>
      <x:c r="Z23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AA23" s="15" t="str">
        <x:v>2026-07-10</x:v>
      </x:c>
    </x:row>
    <x:row r="24">
      <x:c r="A24" s="15" t="str">
        <x:v>NGN-000023</x:v>
      </x:c>
      <x:c r="B24" s="15" t="str">
        <x:v>南アルプス線</x:v>
      </x:c>
      <x:c r="C24" s="15" t="str">
        <x:v>伊那市</x:v>
      </x:c>
      <x:c r="D24" s="15" t="str">
        <x:v>南信</x:v>
      </x:c>
      <x:c r="E24" s="15" t="str">
        <x:v>位置追加調査</x:v>
      </x:c>
      <x:c r="F24" s="15" t="str">
        <x:v>C</x:v>
      </x:c>
      <x:c r="G24" s="15" t="str">
        <x:v>R7-R11</x:v>
      </x:c>
      <x:c r="H24" s="15" t="str">
        <x:v>林道改良事業</x:v>
      </x:c>
      <x:c r="I24" s="15" t="str">
        <x:v>林道改良事業（改良L=151ｍ）</x:v>
      </x:c>
      <x:c r="J24" s="15" t="str"/>
      <x:c r="K24" s="15" t="str"/>
      <x:c r="L24" s="15" t="str">
        <x:v>位置未特定</x:v>
      </x:c>
      <x:c r="M24" s="15" t="str"/>
      <x:c r="N24" s="15" t="str"/>
      <x:c r="O24" s="15" t="str">
        <x:v>なし</x:v>
      </x:c>
      <x:c r="P24" s="15" t="str"/>
      <x:c r="Q24" s="15" t="str"/>
      <x:c r="R24" s="15" t="str"/>
      <x:c r="S24" s="15" t="str"/>
      <x:c r="T24" s="15" t="str">
        <x:v>未確認</x:v>
      </x:c>
      <x:c r="U24" s="15" t="str">
        <x:v>要確認</x:v>
      </x:c>
      <x:c r="V24" s="15" t="str">
        <x:v>長野県R7-R11計画掲載。入口・代表点未特定。</x:v>
      </x:c>
      <x:c r="W24" s="15" t="str">
        <x:v>通行可否・ゲート・路面は現地未確認。</x:v>
      </x:c>
      <x:c r="X24" s="15" t="str">
        <x:v>長野県「農山漁村地域整備計画の変更（第2回）」 https://www.pref.nagano.lg.jp/ringyo/documents/2022_01keikaku.pdf | 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24" s="15" t="str"/>
      <x:c r="Z24" s="15" t="str">
        <x:v>https://www.pref.nagano.lg.jp/ringyo/documents/sinkeikaku2025.pdf</x:v>
      </x:c>
      <x:c r="AA24" s="15" t="str">
        <x:v>2026-07-10</x:v>
      </x:c>
    </x:row>
    <x:row r="25">
      <x:c r="A25" s="15" t="str">
        <x:v>NGN-000024</x:v>
      </x:c>
      <x:c r="B25" s="15" t="str">
        <x:v>日影入線</x:v>
      </x:c>
      <x:c r="C25" s="15" t="str">
        <x:v>伊那市</x:v>
      </x:c>
      <x:c r="D25" s="15" t="str">
        <x:v>南信</x:v>
      </x:c>
      <x:c r="E25" s="15" t="str">
        <x:v>位置追加調査</x:v>
      </x:c>
      <x:c r="F25" s="15" t="str">
        <x:v>C</x:v>
      </x:c>
      <x:c r="G25" s="15" t="str">
        <x:v>R7-R11</x:v>
      </x:c>
      <x:c r="H25" s="15" t="str">
        <x:v>林道改良事業</x:v>
      </x:c>
      <x:c r="I25" s="15" t="str">
        <x:v>林道改良事業（改良L=32ｍ）</x:v>
      </x:c>
      <x:c r="J25" s="15" t="str"/>
      <x:c r="K25" s="15" t="str"/>
      <x:c r="L25" s="15" t="str">
        <x:v>位置未特定</x:v>
      </x:c>
      <x:c r="M25" s="15" t="str"/>
      <x:c r="N25" s="15" t="str"/>
      <x:c r="O25" s="15" t="str">
        <x:v>なし</x:v>
      </x:c>
      <x:c r="P25" s="15" t="str"/>
      <x:c r="Q25" s="15" t="str"/>
      <x:c r="R25" s="15" t="str"/>
      <x:c r="S25" s="15" t="str"/>
      <x:c r="T25" s="15" t="str">
        <x:v>未確認</x:v>
      </x:c>
      <x:c r="U25" s="15" t="str">
        <x:v>要確認</x:v>
      </x:c>
      <x:c r="V25" s="15" t="str">
        <x:v>長野県R7-R11計画掲載。入口・代表点未特定。</x:v>
      </x:c>
      <x:c r="W25" s="15" t="str">
        <x:v>通行可否・ゲート・路面は現地未確認。</x:v>
      </x:c>
      <x:c r="X25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25" s="15" t="str"/>
      <x:c r="Z25" s="15" t="str">
        <x:v>https://www.pref.nagano.lg.jp/ringyo/documents/sinkeikaku2025.pdf</x:v>
      </x:c>
      <x:c r="AA25" s="15" t="str">
        <x:v>2026-07-10</x:v>
      </x:c>
    </x:row>
    <x:row r="26">
      <x:c r="A26" s="15" t="str">
        <x:v>NGN-000025</x:v>
      </x:c>
      <x:c r="B26" s="15" t="str">
        <x:v>千代田湖枯木線</x:v>
      </x:c>
      <x:c r="C26" s="15" t="str">
        <x:v>伊那市</x:v>
      </x:c>
      <x:c r="D26" s="15" t="str">
        <x:v>南信</x:v>
      </x:c>
      <x:c r="E26" s="15" t="str">
        <x:v>行政履歴確認済み</x:v>
      </x:c>
      <x:c r="F26" s="15" t="str">
        <x:v>D</x:v>
      </x:c>
      <x:c r="G26" s="15" t="str">
        <x:v>H22-H26／H27-H31／H27-H31第2回変更／R2-R6／R2-R6第2回変更</x:v>
      </x:c>
      <x:c r="H26" s="15" t="str"/>
      <x:c r="I26" s="15" t="str"/>
      <x:c r="J26" s="15" t="str"/>
      <x:c r="K26" s="15" t="str"/>
      <x:c r="L26" s="15" t="str">
        <x:v>位置未特定</x:v>
      </x:c>
      <x:c r="M26" s="15" t="str"/>
      <x:c r="N26" s="15" t="str"/>
      <x:c r="O26" s="15" t="str">
        <x:v>なし</x:v>
      </x:c>
      <x:c r="P26" s="15" t="str"/>
      <x:c r="Q26" s="15" t="str"/>
      <x:c r="R26" s="15" t="str"/>
      <x:c r="S26" s="15" t="str"/>
      <x:c r="T26" s="15" t="str">
        <x:v>未確認</x:v>
      </x:c>
      <x:c r="U26" s="15" t="str">
        <x:v>要確認</x:v>
      </x:c>
      <x:c r="V26" s="15" t="str">
        <x:v>入口・代表点未特定。</x:v>
      </x:c>
      <x:c r="W26" s="15" t="str">
        <x:v>通行可否・ゲート・路面は現地未確認。</x:v>
      </x:c>
      <x:c r="X26" s="15" t="str">
        <x:v>長野県「農山漁村地域整備計画の変更（第2回）」 https://www.pref.nagano.lg.jp/ringyo/documents/2022_01keikaku.pdf | 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26" s="15" t="str"/>
      <x:c r="Z26" s="15" t="str">
        <x:v>長野県「農山漁村地域整備計画の変更（第2回）」 https://www.pref.nagano.lg.jp/ringyo/documents/2022_01keikaku.pdf | 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26" s="15" t="str">
        <x:v>2026-07-10</x:v>
      </x:c>
    </x:row>
    <x:row r="27">
      <x:c r="A27" s="15" t="str">
        <x:v>NGN-000026</x:v>
      </x:c>
      <x:c r="B27" s="15" t="str">
        <x:v>古城線</x:v>
      </x:c>
      <x:c r="C27" s="15" t="str">
        <x:v>駒ヶ根市</x:v>
      </x:c>
      <x:c r="D27" s="15" t="str">
        <x:v>南信</x:v>
      </x:c>
      <x:c r="E27" s="15" t="str">
        <x:v>全県有力候補</x:v>
      </x:c>
      <x:c r="F27" s="15" t="str">
        <x:v>A</x:v>
      </x:c>
      <x:c r="G27" s="15" t="str">
        <x:v>R7-R11</x:v>
      </x:c>
      <x:c r="H27" s="15" t="str">
        <x:v>林道改良事業</x:v>
      </x:c>
      <x:c r="I27" s="15" t="str">
        <x:v>林道改良事業（改良L=150ｍ）</x:v>
      </x:c>
      <x:c r="J27" s="15" t="str"/>
      <x:c r="K27" s="15" t="str"/>
      <x:c r="L27" s="15" t="str">
        <x:v>OSM名前一致代表点</x:v>
      </x:c>
      <x:c r="M27" s="15" t="str">
        <x:v>35.7335365</x:v>
      </x:c>
      <x:c r="N27" s="15" t="str">
        <x:v>137.8829482</x:v>
      </x:c>
      <x:c r="O27" s="15" t="str">
        <x:v>あり</x:v>
      </x:c>
      <x:c r="P27" s="15" t="str">
        <x:v>unclassified</x:v>
      </x:c>
      <x:c r="Q27" s="15" t="str">
        <x:v>compacted</x:v>
      </x:c>
      <x:c r="R27" s="15" t="str"/>
      <x:c r="S27" s="15" t="str">
        <x:v>99144102/146992570</x:v>
      </x:c>
      <x:c r="T27" s="15" t="str">
        <x:v>強</x:v>
      </x:c>
      <x:c r="U27" s="15" t="str">
        <x:v>要確認</x:v>
      </x:c>
      <x:c r="V27" s="15" t="str">
        <x:v>長野県R7-R11計画掲載。OSM名前一致を市町村境界で確認。trackまたは未舗装系タグあり。</x:v>
      </x:c>
      <x:c r="W27" s="15" t="str">
        <x:v>通行可否・ゲート・路面は現地未確認。</x:v>
      </x:c>
      <x:c r="X27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 | 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27" s="15" t="str">
        <x:v>OpenStreetMap way 99144102（名前一致・市町村境界確認済み）</x:v>
      </x:c>
      <x:c r="Z27" s="15" t="str">
        <x:v>https://www.pref.nagano.lg.jp/ringyo/documents/sinkeikaku2025.pdf</x:v>
      </x:c>
      <x:c r="AA27" s="15" t="str">
        <x:v>2026-07-10</x:v>
      </x:c>
    </x:row>
    <x:row r="28">
      <x:c r="A28" s="15" t="str">
        <x:v>NGN-000027</x:v>
      </x:c>
      <x:c r="B28" s="15" t="str">
        <x:v>宮ノ沢線</x:v>
      </x:c>
      <x:c r="C28" s="15" t="str">
        <x:v>飯島町</x:v>
      </x:c>
      <x:c r="D28" s="15" t="str">
        <x:v>南信</x:v>
      </x:c>
      <x:c r="E28" s="15" t="str">
        <x:v>行政履歴確認済み</x:v>
      </x:c>
      <x:c r="F28" s="15" t="str">
        <x:v>D</x:v>
      </x:c>
      <x:c r="G28" s="15" t="str">
        <x:v>R2-R6／R2-R6第2回変更</x:v>
      </x:c>
      <x:c r="H28" s="15" t="str"/>
      <x:c r="I28" s="15" t="str"/>
      <x:c r="J28" s="15" t="str"/>
      <x:c r="K28" s="15" t="str"/>
      <x:c r="L28" s="15" t="str">
        <x:v>位置未特定</x:v>
      </x:c>
      <x:c r="M28" s="15" t="str"/>
      <x:c r="N28" s="15" t="str"/>
      <x:c r="O28" s="15" t="str">
        <x:v>なし</x:v>
      </x:c>
      <x:c r="P28" s="15" t="str"/>
      <x:c r="Q28" s="15" t="str"/>
      <x:c r="R28" s="15" t="str"/>
      <x:c r="S28" s="15" t="str"/>
      <x:c r="T28" s="15" t="str">
        <x:v>未確認</x:v>
      </x:c>
      <x:c r="U28" s="15" t="str">
        <x:v>要確認</x:v>
      </x:c>
      <x:c r="V28" s="15" t="str">
        <x:v>入口・代表点未特定。</x:v>
      </x:c>
      <x:c r="W28" s="15" t="str">
        <x:v>通行可否・ゲート・路面は現地未確認。</x:v>
      </x:c>
      <x:c r="X28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28" s="15" t="str"/>
      <x:c r="Z28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AA28" s="15" t="str">
        <x:v>2026-07-10</x:v>
      </x:c>
    </x:row>
    <x:row r="29">
      <x:c r="A29" s="15" t="str">
        <x:v>NGN-000028</x:v>
      </x:c>
      <x:c r="B29" s="15" t="str">
        <x:v>不動滝線</x:v>
      </x:c>
      <x:c r="C29" s="15" t="str">
        <x:v>高森町</x:v>
      </x:c>
      <x:c r="D29" s="15" t="str">
        <x:v>南信</x:v>
      </x:c>
      <x:c r="E29" s="15" t="str">
        <x:v>行政履歴確認済み</x:v>
      </x:c>
      <x:c r="F29" s="15" t="str">
        <x:v>D</x:v>
      </x:c>
      <x:c r="G29" s="15" t="str">
        <x:v>R2-R6／R2-R6第2回変更</x:v>
      </x:c>
      <x:c r="H29" s="15" t="str"/>
      <x:c r="I29" s="15" t="str"/>
      <x:c r="J29" s="15" t="str"/>
      <x:c r="K29" s="15" t="str"/>
      <x:c r="L29" s="15" t="str">
        <x:v>位置未特定</x:v>
      </x:c>
      <x:c r="M29" s="15" t="str"/>
      <x:c r="N29" s="15" t="str"/>
      <x:c r="O29" s="15" t="str">
        <x:v>なし</x:v>
      </x:c>
      <x:c r="P29" s="15" t="str"/>
      <x:c r="Q29" s="15" t="str"/>
      <x:c r="R29" s="15" t="str"/>
      <x:c r="S29" s="15" t="str"/>
      <x:c r="T29" s="15" t="str">
        <x:v>未確認</x:v>
      </x:c>
      <x:c r="U29" s="15" t="str">
        <x:v>要確認</x:v>
      </x:c>
      <x:c r="V29" s="15" t="str">
        <x:v>入口・代表点未特定。</x:v>
      </x:c>
      <x:c r="W29" s="15" t="str">
        <x:v>通行可否・ゲート・路面は現地未確認。</x:v>
      </x:c>
      <x:c r="X29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29" s="15" t="str"/>
      <x:c r="Z29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AA29" s="15" t="str">
        <x:v>2026-07-10</x:v>
      </x:c>
    </x:row>
    <x:row r="30">
      <x:c r="A30" s="15" t="str">
        <x:v>NGN-000029</x:v>
      </x:c>
      <x:c r="B30" s="15" t="str">
        <x:v>二又沢線</x:v>
      </x:c>
      <x:c r="C30" s="15" t="str">
        <x:v>高森町</x:v>
      </x:c>
      <x:c r="D30" s="15" t="str">
        <x:v>南信</x:v>
      </x:c>
      <x:c r="E30" s="15" t="str">
        <x:v>行政履歴確認済み</x:v>
      </x:c>
      <x:c r="F30" s="15" t="str">
        <x:v>D</x:v>
      </x:c>
      <x:c r="G30" s="15" t="str">
        <x:v>R2-R6／R2-R6第2回変更</x:v>
      </x:c>
      <x:c r="H30" s="15" t="str"/>
      <x:c r="I30" s="15" t="str"/>
      <x:c r="J30" s="15" t="str"/>
      <x:c r="K30" s="15" t="str"/>
      <x:c r="L30" s="15" t="str">
        <x:v>位置未特定</x:v>
      </x:c>
      <x:c r="M30" s="15" t="str"/>
      <x:c r="N30" s="15" t="str"/>
      <x:c r="O30" s="15" t="str">
        <x:v>なし</x:v>
      </x:c>
      <x:c r="P30" s="15" t="str"/>
      <x:c r="Q30" s="15" t="str"/>
      <x:c r="R30" s="15" t="str"/>
      <x:c r="S30" s="15" t="str"/>
      <x:c r="T30" s="15" t="str">
        <x:v>未確認</x:v>
      </x:c>
      <x:c r="U30" s="15" t="str">
        <x:v>要確認</x:v>
      </x:c>
      <x:c r="V30" s="15" t="str">
        <x:v>入口・代表点未特定。</x:v>
      </x:c>
      <x:c r="W30" s="15" t="str">
        <x:v>通行可否・ゲート・路面は現地未確認。</x:v>
      </x:c>
      <x:c r="X30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30" s="15" t="str"/>
      <x:c r="Z30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AA30" s="15" t="str">
        <x:v>2026-07-10</x:v>
      </x:c>
    </x:row>
    <x:row r="31">
      <x:c r="A31" s="15" t="str">
        <x:v>NGN-000030</x:v>
      </x:c>
      <x:c r="B31" s="15" t="str">
        <x:v>売木うつぼ線</x:v>
      </x:c>
      <x:c r="C31" s="15" t="str">
        <x:v>阿南町</x:v>
      </x:c>
      <x:c r="D31" s="15" t="str">
        <x:v>南信</x:v>
      </x:c>
      <x:c r="E31" s="15" t="str">
        <x:v>次点候補</x:v>
      </x:c>
      <x:c r="F31" s="15" t="str">
        <x:v>B</x:v>
      </x:c>
      <x:c r="G31" s="15" t="str">
        <x:v>R7-R11</x:v>
      </x:c>
      <x:c r="H31" s="15" t="str">
        <x:v>林道点検診断・保全整備事業</x:v>
      </x:c>
      <x:c r="I31" s="15" t="str">
        <x:v>点検診断・保全整備（点検診断L=218m）</x:v>
      </x:c>
      <x:c r="J31" s="15" t="str"/>
      <x:c r="K31" s="15" t="str"/>
      <x:c r="L31" s="15" t="str">
        <x:v>OSM名前一致代表点</x:v>
      </x:c>
      <x:c r="M31" s="15" t="str">
        <x:v>35.3267000</x:v>
      </x:c>
      <x:c r="N31" s="15" t="str">
        <x:v>137.6763188</x:v>
      </x:c>
      <x:c r="O31" s="15" t="str">
        <x:v>あり</x:v>
      </x:c>
      <x:c r="P31" s="15" t="str">
        <x:v>unclassified</x:v>
      </x:c>
      <x:c r="Q31" s="15" t="str"/>
      <x:c r="R31" s="15" t="str"/>
      <x:c r="S31" s="15" t="str">
        <x:v>122676683/122703351/122703885/122704320/122730483</x:v>
      </x:c>
      <x:c r="T31" s="15" t="str">
        <x:v>中</x:v>
      </x:c>
      <x:c r="U31" s="15" t="str">
        <x:v>要確認</x:v>
      </x:c>
      <x:c r="V31" s="15" t="str">
        <x:v>長野県R7-R11計画掲載。OSM名前一致を市町村境界で確認。</x:v>
      </x:c>
      <x:c r="W31" s="15" t="str">
        <x:v>通行可否・ゲート・路面は現地未確認。同名OSM 1件は市町村不一致で除外。</x:v>
      </x:c>
      <x:c r="X31" s="15" t="str">
        <x:v>長野県「農山漁村地域整備計画の変更（第2回）」 https://www.pref.nagano.lg.jp/ringyo/documents/2022_01keikaku.pdf | 長野県「農山漁村地域整備計画（H22-H26）」 https://www.pref.nagano.lg.jp/ringyo/documents/kyukeikaku.pdf</x:v>
      </x:c>
      <x:c r="Y31" s="15" t="str">
        <x:v>OpenStreetMap way 122676683（名前一致・市町村境界確認済み）</x:v>
      </x:c>
      <x:c r="Z31" s="15" t="str">
        <x:v>https://www.pref.nagano.lg.jp/ringyo/documents/sinkeikaku2025.pdf</x:v>
      </x:c>
      <x:c r="AA31" s="15" t="str">
        <x:v>2026-07-10</x:v>
      </x:c>
    </x:row>
    <x:row r="32">
      <x:c r="A32" s="15" t="str">
        <x:v>NGN-000031</x:v>
      </x:c>
      <x:c r="B32" s="15" t="str">
        <x:v>大久那線</x:v>
      </x:c>
      <x:c r="C32" s="15" t="str">
        <x:v>阿南町</x:v>
      </x:c>
      <x:c r="D32" s="15" t="str">
        <x:v>南信</x:v>
      </x:c>
      <x:c r="E32" s="15" t="str">
        <x:v>行政履歴確認済み</x:v>
      </x:c>
      <x:c r="F32" s="15" t="str">
        <x:v>D</x:v>
      </x:c>
      <x:c r="G32" s="15" t="str">
        <x:v>R2-R6／R2-R6第2回変更</x:v>
      </x:c>
      <x:c r="H32" s="15" t="str"/>
      <x:c r="I32" s="15" t="str"/>
      <x:c r="J32" s="15" t="str"/>
      <x:c r="K32" s="15" t="str"/>
      <x:c r="L32" s="15" t="str">
        <x:v>位置未特定</x:v>
      </x:c>
      <x:c r="M32" s="15" t="str"/>
      <x:c r="N32" s="15" t="str"/>
      <x:c r="O32" s="15" t="str">
        <x:v>なし</x:v>
      </x:c>
      <x:c r="P32" s="15" t="str"/>
      <x:c r="Q32" s="15" t="str"/>
      <x:c r="R32" s="15" t="str"/>
      <x:c r="S32" s="15" t="str"/>
      <x:c r="T32" s="15" t="str">
        <x:v>未確認</x:v>
      </x:c>
      <x:c r="U32" s="15" t="str">
        <x:v>要確認</x:v>
      </x:c>
      <x:c r="V32" s="15" t="str">
        <x:v>入口・代表点未特定。</x:v>
      </x:c>
      <x:c r="W32" s="15" t="str">
        <x:v>通行可否・ゲート・路面は現地未確認。</x:v>
      </x:c>
      <x:c r="X32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32" s="15" t="str"/>
      <x:c r="Z32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AA32" s="15" t="str">
        <x:v>2026-07-10</x:v>
      </x:c>
    </x:row>
    <x:row r="33">
      <x:c r="A33" s="15" t="str">
        <x:v>NGN-000032</x:v>
      </x:c>
      <x:c r="B33" s="15" t="str">
        <x:v>門原線</x:v>
      </x:c>
      <x:c r="C33" s="15" t="str">
        <x:v>阿南町</x:v>
      </x:c>
      <x:c r="D33" s="15" t="str">
        <x:v>南信</x:v>
      </x:c>
      <x:c r="E33" s="15" t="str">
        <x:v>行政履歴確認済み</x:v>
      </x:c>
      <x:c r="F33" s="15" t="str">
        <x:v>D</x:v>
      </x:c>
      <x:c r="G33" s="15" t="str">
        <x:v>R2-R6／R2-R6第2回変更</x:v>
      </x:c>
      <x:c r="H33" s="15" t="str"/>
      <x:c r="I33" s="15" t="str"/>
      <x:c r="J33" s="15" t="str"/>
      <x:c r="K33" s="15" t="str"/>
      <x:c r="L33" s="15" t="str">
        <x:v>位置未特定</x:v>
      </x:c>
      <x:c r="M33" s="15" t="str"/>
      <x:c r="N33" s="15" t="str"/>
      <x:c r="O33" s="15" t="str">
        <x:v>なし</x:v>
      </x:c>
      <x:c r="P33" s="15" t="str"/>
      <x:c r="Q33" s="15" t="str"/>
      <x:c r="R33" s="15" t="str"/>
      <x:c r="S33" s="15" t="str"/>
      <x:c r="T33" s="15" t="str">
        <x:v>未確認</x:v>
      </x:c>
      <x:c r="U33" s="15" t="str">
        <x:v>要確認</x:v>
      </x:c>
      <x:c r="V33" s="15" t="str">
        <x:v>入口・代表点未特定。</x:v>
      </x:c>
      <x:c r="W33" s="15" t="str">
        <x:v>通行可否・ゲート・路面は現地未確認。</x:v>
      </x:c>
      <x:c r="X33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33" s="15" t="str"/>
      <x:c r="Z33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AA33" s="15" t="str">
        <x:v>2026-07-10</x:v>
      </x:c>
    </x:row>
    <x:row r="34">
      <x:c r="A34" s="15" t="str">
        <x:v>NGN-000033</x:v>
      </x:c>
      <x:c r="B34" s="15" t="str">
        <x:v>本洞線</x:v>
      </x:c>
      <x:c r="C34" s="15" t="str">
        <x:v>木曽町</x:v>
      </x:c>
      <x:c r="D34" s="15" t="str">
        <x:v>中信</x:v>
      </x:c>
      <x:c r="E34" s="15" t="str">
        <x:v>位置追加調査</x:v>
      </x:c>
      <x:c r="F34" s="15" t="str">
        <x:v>C</x:v>
      </x:c>
      <x:c r="G34" s="15" t="str">
        <x:v>R7-R11</x:v>
      </x:c>
      <x:c r="H34" s="15" t="str">
        <x:v>林道改良事業</x:v>
      </x:c>
      <x:c r="I34" s="15" t="str">
        <x:v>林道改良事業（改良L=83ｍ）</x:v>
      </x:c>
      <x:c r="J34" s="15" t="str"/>
      <x:c r="K34" s="15" t="str"/>
      <x:c r="L34" s="15" t="str">
        <x:v>位置未特定</x:v>
      </x:c>
      <x:c r="M34" s="15" t="str"/>
      <x:c r="N34" s="15" t="str"/>
      <x:c r="O34" s="15" t="str">
        <x:v>なし</x:v>
      </x:c>
      <x:c r="P34" s="15" t="str"/>
      <x:c r="Q34" s="15" t="str"/>
      <x:c r="R34" s="15" t="str"/>
      <x:c r="S34" s="15" t="str"/>
      <x:c r="T34" s="15" t="str">
        <x:v>未確認</x:v>
      </x:c>
      <x:c r="U34" s="15" t="str">
        <x:v>要確認</x:v>
      </x:c>
      <x:c r="V34" s="15" t="str">
        <x:v>長野県R7-R11計画掲載。入口・代表点未特定。</x:v>
      </x:c>
      <x:c r="W34" s="15" t="str">
        <x:v>通行可否・ゲート・路面は現地未確認。同名OSM 2件は市町村不一致で除外。</x:v>
      </x:c>
      <x:c r="X34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34" s="15" t="str"/>
      <x:c r="Z34" s="15" t="str">
        <x:v>https://www.pref.nagano.lg.jp/ringyo/documents/sinkeikaku2025.pdf</x:v>
      </x:c>
      <x:c r="AA34" s="15" t="str">
        <x:v>2026-07-10</x:v>
      </x:c>
    </x:row>
    <x:row r="35">
      <x:c r="A35" s="15" t="str">
        <x:v>NGN-000034</x:v>
      </x:c>
      <x:c r="B35" s="15" t="str">
        <x:v>大恵曽線</x:v>
      </x:c>
      <x:c r="C35" s="15" t="str">
        <x:v>泰阜村</x:v>
      </x:c>
      <x:c r="D35" s="15" t="str">
        <x:v>南信</x:v>
      </x:c>
      <x:c r="E35" s="15" t="str">
        <x:v>行政履歴確認済み</x:v>
      </x:c>
      <x:c r="F35" s="15" t="str">
        <x:v>D</x:v>
      </x:c>
      <x:c r="G35" s="15" t="str">
        <x:v>R2-R6／R2-R6第2回変更</x:v>
      </x:c>
      <x:c r="H35" s="15" t="str"/>
      <x:c r="I35" s="15" t="str"/>
      <x:c r="J35" s="15" t="str"/>
      <x:c r="K35" s="15" t="str"/>
      <x:c r="L35" s="15" t="str">
        <x:v>位置未特定</x:v>
      </x:c>
      <x:c r="M35" s="15" t="str"/>
      <x:c r="N35" s="15" t="str"/>
      <x:c r="O35" s="15" t="str">
        <x:v>なし</x:v>
      </x:c>
      <x:c r="P35" s="15" t="str"/>
      <x:c r="Q35" s="15" t="str"/>
      <x:c r="R35" s="15" t="str"/>
      <x:c r="S35" s="15" t="str"/>
      <x:c r="T35" s="15" t="str">
        <x:v>未確認</x:v>
      </x:c>
      <x:c r="U35" s="15" t="str">
        <x:v>要確認</x:v>
      </x:c>
      <x:c r="V35" s="15" t="str">
        <x:v>入口・代表点未特定。</x:v>
      </x:c>
      <x:c r="W35" s="15" t="str">
        <x:v>通行可否・ゲート・路面は現地未確認。</x:v>
      </x:c>
      <x:c r="X35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35" s="15" t="str"/>
      <x:c r="Z35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AA35" s="15" t="str">
        <x:v>2026-07-10</x:v>
      </x:c>
    </x:row>
    <x:row r="36">
      <x:c r="A36" s="15" t="str">
        <x:v>NGN-000035</x:v>
      </x:c>
      <x:c r="B36" s="15" t="str">
        <x:v>川端線</x:v>
      </x:c>
      <x:c r="C36" s="15" t="str">
        <x:v>泰阜村</x:v>
      </x:c>
      <x:c r="D36" s="15" t="str">
        <x:v>南信</x:v>
      </x:c>
      <x:c r="E36" s="15" t="str">
        <x:v>行政履歴確認済み</x:v>
      </x:c>
      <x:c r="F36" s="15" t="str">
        <x:v>D</x:v>
      </x:c>
      <x:c r="G36" s="15" t="str">
        <x:v>R2-R6／R2-R6第2回変更</x:v>
      </x:c>
      <x:c r="H36" s="15" t="str"/>
      <x:c r="I36" s="15" t="str"/>
      <x:c r="J36" s="15" t="str"/>
      <x:c r="K36" s="15" t="str"/>
      <x:c r="L36" s="15" t="str">
        <x:v>位置未特定</x:v>
      </x:c>
      <x:c r="M36" s="15" t="str"/>
      <x:c r="N36" s="15" t="str"/>
      <x:c r="O36" s="15" t="str">
        <x:v>なし</x:v>
      </x:c>
      <x:c r="P36" s="15" t="str"/>
      <x:c r="Q36" s="15" t="str"/>
      <x:c r="R36" s="15" t="str"/>
      <x:c r="S36" s="15" t="str"/>
      <x:c r="T36" s="15" t="str">
        <x:v>未確認</x:v>
      </x:c>
      <x:c r="U36" s="15" t="str">
        <x:v>要確認</x:v>
      </x:c>
      <x:c r="V36" s="15" t="str">
        <x:v>入口・代表点未特定。</x:v>
      </x:c>
      <x:c r="W36" s="15" t="str">
        <x:v>通行可否・ゲート・路面は現地未確認。</x:v>
      </x:c>
      <x:c r="X36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36" s="15" t="str"/>
      <x:c r="Z36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AA36" s="15" t="str">
        <x:v>2026-07-10</x:v>
      </x:c>
    </x:row>
    <x:row r="37">
      <x:c r="A37" s="15" t="str">
        <x:v>NGN-000036</x:v>
      </x:c>
      <x:c r="B37" s="15" t="str">
        <x:v>赤石線</x:v>
      </x:c>
      <x:c r="C37" s="15" t="str">
        <x:v>飯田市</x:v>
      </x:c>
      <x:c r="D37" s="15" t="str">
        <x:v>南信</x:v>
      </x:c>
      <x:c r="E37" s="15" t="str">
        <x:v>次点候補</x:v>
      </x:c>
      <x:c r="F37" s="15" t="str">
        <x:v>B</x:v>
      </x:c>
      <x:c r="G37" s="15" t="str">
        <x:v>R7-R11</x:v>
      </x:c>
      <x:c r="H37" s="15" t="str">
        <x:v>林道点検診断・保全整備事業</x:v>
      </x:c>
      <x:c r="I37" s="15" t="str">
        <x:v>点検診断・保全整備（点検診断L=570m）</x:v>
      </x:c>
      <x:c r="J37" s="15" t="str"/>
      <x:c r="K37" s="15" t="str"/>
      <x:c r="L37" s="15" t="str">
        <x:v>OSM名前一致代表点</x:v>
      </x:c>
      <x:c r="M37" s="15" t="str">
        <x:v>35.3554925</x:v>
      </x:c>
      <x:c r="N37" s="15" t="str">
        <x:v>137.9650572</x:v>
      </x:c>
      <x:c r="O37" s="15" t="str">
        <x:v>あり</x:v>
      </x:c>
      <x:c r="P37" s="15" t="str">
        <x:v>unclassified</x:v>
      </x:c>
      <x:c r="Q37" s="15" t="str"/>
      <x:c r="R37" s="15" t="str"/>
      <x:c r="S37" s="15" t="str">
        <x:v>151804778/151804861/151941364/151941450/151941536/151941621</x:v>
      </x:c>
      <x:c r="T37" s="15" t="str">
        <x:v>中</x:v>
      </x:c>
      <x:c r="U37" s="15" t="str">
        <x:v>要確認</x:v>
      </x:c>
      <x:c r="V37" s="15" t="str">
        <x:v>長野県R7-R11計画掲載。OSM名前一致を市町村境界で確認。</x:v>
      </x:c>
      <x:c r="W37" s="15" t="str">
        <x:v>通行可否・ゲート・路面は現地未確認。</x:v>
      </x:c>
      <x:c r="X37" s="15" t="str">
        <x:v>長野県「農山漁村地域整備計画の変更（第2回）」 https://www.pref.nagano.lg.jp/ringyo/documents/2022_01keikaku.pdf | 長野県「農山漁村地域整備計画（H22-H26）」 https://www.pref.nagano.lg.jp/ringyo/documents/kyukeikaku.pdf</x:v>
      </x:c>
      <x:c r="Y37" s="15" t="str">
        <x:v>OpenStreetMap way 151804778（名前一致・市町村境界確認済み）</x:v>
      </x:c>
      <x:c r="Z37" s="15" t="str">
        <x:v>https://www.pref.nagano.lg.jp/ringyo/documents/sinkeikaku2025.pdf</x:v>
      </x:c>
      <x:c r="AA37" s="15" t="str">
        <x:v>2026-07-10</x:v>
      </x:c>
    </x:row>
    <x:row r="38">
      <x:c r="A38" s="15" t="str">
        <x:v>NGN-000037</x:v>
      </x:c>
      <x:c r="B38" s="15" t="str">
        <x:v>御池山線</x:v>
      </x:c>
      <x:c r="C38" s="15" t="str">
        <x:v>飯田市</x:v>
      </x:c>
      <x:c r="D38" s="15" t="str">
        <x:v>南信</x:v>
      </x:c>
      <x:c r="E38" s="15" t="str">
        <x:v>位置追加調査</x:v>
      </x:c>
      <x:c r="F38" s="15" t="str">
        <x:v>C</x:v>
      </x:c>
      <x:c r="G38" s="15" t="str">
        <x:v>R7-R11</x:v>
      </x:c>
      <x:c r="H38" s="15" t="str">
        <x:v>林道改良事業</x:v>
      </x:c>
      <x:c r="I38" s="15" t="str">
        <x:v>林道改良事業（改良L=60ｍ）</x:v>
      </x:c>
      <x:c r="J38" s="15" t="str"/>
      <x:c r="K38" s="15" t="str"/>
      <x:c r="L38" s="15" t="str">
        <x:v>位置未特定</x:v>
      </x:c>
      <x:c r="M38" s="15" t="str"/>
      <x:c r="N38" s="15" t="str"/>
      <x:c r="O38" s="15" t="str">
        <x:v>なし</x:v>
      </x:c>
      <x:c r="P38" s="15" t="str"/>
      <x:c r="Q38" s="15" t="str"/>
      <x:c r="R38" s="15" t="str"/>
      <x:c r="S38" s="15" t="str"/>
      <x:c r="T38" s="15" t="str">
        <x:v>未確認</x:v>
      </x:c>
      <x:c r="U38" s="15" t="str">
        <x:v>要確認</x:v>
      </x:c>
      <x:c r="V38" s="15" t="str">
        <x:v>長野県R7-R11計画掲載。入口・代表点未特定。</x:v>
      </x:c>
      <x:c r="W38" s="15" t="str">
        <x:v>通行可否・ゲート・路面は現地未確認。</x:v>
      </x:c>
      <x:c r="X38" s="15" t="str">
        <x:v>長野県「農山漁村地域整備計画の変更（第2回）」 https://www.pref.nagano.lg.jp/ringyo/documents/2022_01keikaku.pdf | 長野県「農山漁村地域整備計画（H22-H26）」 https://www.pref.nagano.lg.jp/ringyo/documents/kyukeikaku.pdf</x:v>
      </x:c>
      <x:c r="Y38" s="15" t="str"/>
      <x:c r="Z38" s="15" t="str">
        <x:v>https://www.pref.nagano.lg.jp/ringyo/documents/sinkeikaku2025.pdf</x:v>
      </x:c>
      <x:c r="AA38" s="15" t="str">
        <x:v>2026-07-10</x:v>
      </x:c>
    </x:row>
    <x:row r="39">
      <x:c r="A39" s="15" t="str">
        <x:v>NGN-000038</x:v>
      </x:c>
      <x:c r="B39" s="15" t="str">
        <x:v>弓の又線</x:v>
      </x:c>
      <x:c r="C39" s="15" t="str">
        <x:v>阿智村</x:v>
      </x:c>
      <x:c r="D39" s="15" t="str">
        <x:v>南信</x:v>
      </x:c>
      <x:c r="E39" s="15" t="str">
        <x:v>次点候補</x:v>
      </x:c>
      <x:c r="F39" s="15" t="str">
        <x:v>B</x:v>
      </x:c>
      <x:c r="G39" s="15" t="str">
        <x:v>R7-R11</x:v>
      </x:c>
      <x:c r="H39" s="15" t="str">
        <x:v>林道点検診断・保全整備事業</x:v>
      </x:c>
      <x:c r="I39" s="15" t="str">
        <x:v>点検診断・保全整備（点検診断L=336m）</x:v>
      </x:c>
      <x:c r="J39" s="15" t="str"/>
      <x:c r="K39" s="15" t="str"/>
      <x:c r="L39" s="15" t="str">
        <x:v>OSM名前一致代表点</x:v>
      </x:c>
      <x:c r="M39" s="15" t="str">
        <x:v>35.4422567</x:v>
      </x:c>
      <x:c r="N39" s="15" t="str">
        <x:v>137.6657661</x:v>
      </x:c>
      <x:c r="O39" s="15" t="str">
        <x:v>あり</x:v>
      </x:c>
      <x:c r="P39" s="15" t="str">
        <x:v>unclassified</x:v>
      </x:c>
      <x:c r="Q39" s="15" t="str"/>
      <x:c r="R39" s="15" t="str"/>
      <x:c r="S39" s="15" t="str">
        <x:v>112753991</x:v>
      </x:c>
      <x:c r="T39" s="15" t="str">
        <x:v>中</x:v>
      </x:c>
      <x:c r="U39" s="15" t="str">
        <x:v>要確認</x:v>
      </x:c>
      <x:c r="V39" s="15" t="str">
        <x:v>長野県R7-R11計画掲載。OSM名前一致を市町村境界で確認。</x:v>
      </x:c>
      <x:c r="W39" s="15" t="str">
        <x:v>通行可否・ゲート・路面は現地未確認。</x:v>
      </x:c>
      <x:c r="X39" s="15" t="str">
        <x:v>長野県「農山漁村地域整備計画の変更（第2回）」 https://www.pref.nagano.lg.jp/ringyo/documents/2022_01keikaku.pdf</x:v>
      </x:c>
      <x:c r="Y39" s="15" t="str">
        <x:v>OpenStreetMap way 112753991（名前一致・市町村境界確認済み）</x:v>
      </x:c>
      <x:c r="Z39" s="15" t="str">
        <x:v>https://www.pref.nagano.lg.jp/ringyo/documents/sinkeikaku2025.pdf</x:v>
      </x:c>
      <x:c r="AA39" s="15" t="str">
        <x:v>2026-07-10</x:v>
      </x:c>
    </x:row>
    <x:row r="40">
      <x:c r="A40" s="15" t="str">
        <x:v>NGN-000039</x:v>
      </x:c>
      <x:c r="B40" s="15" t="str">
        <x:v>野尻与川線</x:v>
      </x:c>
      <x:c r="C40" s="15" t="str">
        <x:v>大桑村</x:v>
      </x:c>
      <x:c r="D40" s="15" t="str">
        <x:v>中信</x:v>
      </x:c>
      <x:c r="E40" s="15" t="str">
        <x:v>位置追加調査</x:v>
      </x:c>
      <x:c r="F40" s="15" t="str">
        <x:v>C</x:v>
      </x:c>
      <x:c r="G40" s="15" t="str">
        <x:v>R7-R11</x:v>
      </x:c>
      <x:c r="H40" s="15" t="str">
        <x:v>林道改良事業</x:v>
      </x:c>
      <x:c r="I40" s="15" t="str">
        <x:v>林道改良事業（改良L=5ｍ）</x:v>
      </x:c>
      <x:c r="J40" s="15" t="str"/>
      <x:c r="K40" s="15" t="str"/>
      <x:c r="L40" s="15" t="str">
        <x:v>位置未特定</x:v>
      </x:c>
      <x:c r="M40" s="15" t="str"/>
      <x:c r="N40" s="15" t="str"/>
      <x:c r="O40" s="15" t="str">
        <x:v>なし</x:v>
      </x:c>
      <x:c r="P40" s="15" t="str"/>
      <x:c r="Q40" s="15" t="str"/>
      <x:c r="R40" s="15" t="str"/>
      <x:c r="S40" s="15" t="str"/>
      <x:c r="T40" s="15" t="str">
        <x:v>未確認</x:v>
      </x:c>
      <x:c r="U40" s="15" t="str">
        <x:v>要確認</x:v>
      </x:c>
      <x:c r="V40" s="15" t="str">
        <x:v>長野県R7-R11計画掲載。入口・代表点未特定。</x:v>
      </x:c>
      <x:c r="W40" s="15" t="str">
        <x:v>通行可否・ゲート・路面は現地未確認。</x:v>
      </x:c>
      <x:c r="X40" s="15" t="str">
        <x:v>長野県「農山漁村地域整備計画の変更（第2回）」 https://www.pref.nagano.lg.jp/ringyo/documents/2022_01keikaku.pdf</x:v>
      </x:c>
      <x:c r="Y40" s="15" t="str"/>
      <x:c r="Z40" s="15" t="str">
        <x:v>https://www.pref.nagano.lg.jp/ringyo/documents/sinkeikaku2025.pdf</x:v>
      </x:c>
      <x:c r="AA40" s="15" t="str">
        <x:v>2026-07-10</x:v>
      </x:c>
    </x:row>
    <x:row r="41">
      <x:c r="A41" s="15" t="str">
        <x:v>NGN-000040</x:v>
      </x:c>
      <x:c r="B41" s="15" t="str">
        <x:v>美ヶ原線</x:v>
      </x:c>
      <x:c r="C41" s="15" t="str">
        <x:v>松本市</x:v>
      </x:c>
      <x:c r="D41" s="15" t="str">
        <x:v>中信</x:v>
      </x:c>
      <x:c r="E41" s="15" t="str">
        <x:v>行政履歴確認済み</x:v>
      </x:c>
      <x:c r="F41" s="15" t="str">
        <x:v>D</x:v>
      </x:c>
      <x:c r="G41" s="15" t="str">
        <x:v>H27-H31／H27-H31第2回変更／R2-R6／R2-R6第2回変更</x:v>
      </x:c>
      <x:c r="H41" s="15" t="str"/>
      <x:c r="I41" s="15" t="str"/>
      <x:c r="J41" s="15" t="str"/>
      <x:c r="K41" s="15" t="str"/>
      <x:c r="L41" s="15" t="str">
        <x:v>位置未特定</x:v>
      </x:c>
      <x:c r="M41" s="15" t="str"/>
      <x:c r="N41" s="15" t="str"/>
      <x:c r="O41" s="15" t="str">
        <x:v>なし</x:v>
      </x:c>
      <x:c r="P41" s="15" t="str"/>
      <x:c r="Q41" s="15" t="str"/>
      <x:c r="R41" s="15" t="str"/>
      <x:c r="S41" s="15" t="str"/>
      <x:c r="T41" s="15" t="str">
        <x:v>未確認</x:v>
      </x:c>
      <x:c r="U41" s="15" t="str">
        <x:v>要確認</x:v>
      </x:c>
      <x:c r="V41" s="15" t="str">
        <x:v>入口・代表点未特定。</x:v>
      </x:c>
      <x:c r="W41" s="15" t="str">
        <x:v>通行可否・ゲート・路面は現地未確認。</x:v>
      </x:c>
      <x:c r="X41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 | 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Y41" s="15" t="str"/>
      <x:c r="Z41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 | 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AA41" s="15" t="str">
        <x:v>2026-07-10</x:v>
      </x:c>
    </x:row>
    <x:row r="42">
      <x:c r="A42" s="15" t="str">
        <x:v>NGN-000041</x:v>
      </x:c>
      <x:c r="B42" s="15" t="str">
        <x:v>宮ノ入線</x:v>
      </x:c>
      <x:c r="C42" s="15" t="str">
        <x:v>松本市</x:v>
      </x:c>
      <x:c r="D42" s="15" t="str">
        <x:v>中信</x:v>
      </x:c>
      <x:c r="E42" s="15" t="str">
        <x:v>次点候補</x:v>
      </x:c>
      <x:c r="F42" s="15" t="str">
        <x:v>B</x:v>
      </x:c>
      <x:c r="G42" s="15" t="str">
        <x:v>R7-R11</x:v>
      </x:c>
      <x:c r="H42" s="15" t="str">
        <x:v>林道改良事業</x:v>
      </x:c>
      <x:c r="I42" s="15" t="str">
        <x:v>林道改良事業（改良L=545ｍ）</x:v>
      </x:c>
      <x:c r="J42" s="15" t="str"/>
      <x:c r="K42" s="15" t="str"/>
      <x:c r="L42" s="15" t="str">
        <x:v>OSM名前一致代表点</x:v>
      </x:c>
      <x:c r="M42" s="15" t="str">
        <x:v>36.1873285</x:v>
      </x:c>
      <x:c r="N42" s="15" t="str">
        <x:v>138.0444326</x:v>
      </x:c>
      <x:c r="O42" s="15" t="str">
        <x:v>あり</x:v>
      </x:c>
      <x:c r="P42" s="15" t="str">
        <x:v>track/unclassified</x:v>
      </x:c>
      <x:c r="Q42" s="15" t="str"/>
      <x:c r="R42" s="15" t="str">
        <x:v>grade1</x:v>
      </x:c>
      <x:c r="S42" s="15" t="str">
        <x:v>150698933/150699179/971249083/971249084/1268579004</x:v>
      </x:c>
      <x:c r="T42" s="15" t="str">
        <x:v>中</x:v>
      </x:c>
      <x:c r="U42" s="15" t="str">
        <x:v>要確認</x:v>
      </x:c>
      <x:c r="V42" s="15" t="str">
        <x:v>長野県R7-R11計画掲載。OSM名前一致を市町村境界で確認。</x:v>
      </x:c>
      <x:c r="W42" s="15" t="str">
        <x:v>通行可否・ゲート・路面は現地未確認。</x:v>
      </x:c>
      <x:c r="X42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42" s="15" t="str">
        <x:v>OpenStreetMap way 150698933（名前一致・市町村境界確認済み）</x:v>
      </x:c>
      <x:c r="Z42" s="15" t="str">
        <x:v>https://www.pref.nagano.lg.jp/ringyo/documents/sinkeikaku2025.pdf</x:v>
      </x:c>
      <x:c r="AA42" s="15" t="str">
        <x:v>2026-07-10</x:v>
      </x:c>
    </x:row>
    <x:row r="43">
      <x:c r="A43" s="15" t="str">
        <x:v>NGN-000042</x:v>
      </x:c>
      <x:c r="B43" s="15" t="str">
        <x:v>奈川安曇線</x:v>
      </x:c>
      <x:c r="C43" s="15" t="str">
        <x:v>松本市</x:v>
      </x:c>
      <x:c r="D43" s="15" t="str">
        <x:v>中信</x:v>
      </x:c>
      <x:c r="E43" s="15" t="str">
        <x:v>行政履歴確認済み</x:v>
      </x:c>
      <x:c r="F43" s="15" t="str">
        <x:v>D</x:v>
      </x:c>
      <x:c r="G43" s="15" t="str">
        <x:v>H27-H31／H27-H31第2回変更／R2-R6／R2-R6第2回変更</x:v>
      </x:c>
      <x:c r="H43" s="15" t="str"/>
      <x:c r="I43" s="15" t="str"/>
      <x:c r="J43" s="15" t="str"/>
      <x:c r="K43" s="15" t="str"/>
      <x:c r="L43" s="15" t="str">
        <x:v>位置未特定</x:v>
      </x:c>
      <x:c r="M43" s="15" t="str"/>
      <x:c r="N43" s="15" t="str"/>
      <x:c r="O43" s="15" t="str">
        <x:v>なし</x:v>
      </x:c>
      <x:c r="P43" s="15" t="str"/>
      <x:c r="Q43" s="15" t="str"/>
      <x:c r="R43" s="15" t="str"/>
      <x:c r="S43" s="15" t="str"/>
      <x:c r="T43" s="15" t="str">
        <x:v>未確認</x:v>
      </x:c>
      <x:c r="U43" s="15" t="str">
        <x:v>要確認</x:v>
      </x:c>
      <x:c r="V43" s="15" t="str">
        <x:v>入口・代表点未特定。</x:v>
      </x:c>
      <x:c r="W43" s="15" t="str">
        <x:v>通行可否・ゲート・路面は現地未確認。</x:v>
      </x:c>
      <x:c r="X43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 | 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Y43" s="15" t="str"/>
      <x:c r="Z43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 | 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AA43" s="15" t="str">
        <x:v>2026-07-10</x:v>
      </x:c>
    </x:row>
    <x:row r="44">
      <x:c r="A44" s="15" t="str">
        <x:v>NGN-000043</x:v>
      </x:c>
      <x:c r="B44" s="15" t="str">
        <x:v>片丘線</x:v>
      </x:c>
      <x:c r="C44" s="15" t="str">
        <x:v>塩尻市</x:v>
      </x:c>
      <x:c r="D44" s="15" t="str">
        <x:v>中信</x:v>
      </x:c>
      <x:c r="E44" s="15" t="str">
        <x:v>行政履歴確認済み</x:v>
      </x:c>
      <x:c r="F44" s="15" t="str">
        <x:v>D</x:v>
      </x:c>
      <x:c r="G44" s="15" t="str">
        <x:v>R2-R6／R2-R6第2回変更</x:v>
      </x:c>
      <x:c r="H44" s="15" t="str"/>
      <x:c r="I44" s="15" t="str"/>
      <x:c r="J44" s="15" t="str"/>
      <x:c r="K44" s="15" t="str"/>
      <x:c r="L44" s="15" t="str">
        <x:v>位置未特定</x:v>
      </x:c>
      <x:c r="M44" s="15" t="str"/>
      <x:c r="N44" s="15" t="str"/>
      <x:c r="O44" s="15" t="str">
        <x:v>なし</x:v>
      </x:c>
      <x:c r="P44" s="15" t="str"/>
      <x:c r="Q44" s="15" t="str"/>
      <x:c r="R44" s="15" t="str"/>
      <x:c r="S44" s="15" t="str"/>
      <x:c r="T44" s="15" t="str">
        <x:v>未確認</x:v>
      </x:c>
      <x:c r="U44" s="15" t="str">
        <x:v>要確認</x:v>
      </x:c>
      <x:c r="V44" s="15" t="str">
        <x:v>入口・代表点未特定。</x:v>
      </x:c>
      <x:c r="W44" s="15" t="str">
        <x:v>通行可否・ゲート・路面は現地未確認。</x:v>
      </x:c>
      <x:c r="X44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44" s="15" t="str"/>
      <x:c r="Z44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AA44" s="15" t="str">
        <x:v>2026-07-10</x:v>
      </x:c>
    </x:row>
    <x:row r="45">
      <x:c r="A45" s="15" t="str">
        <x:v>NGN-000044</x:v>
      </x:c>
      <x:c r="B45" s="15" t="str">
        <x:v>烏川線</x:v>
      </x:c>
      <x:c r="C45" s="15" t="str">
        <x:v>安曇野市</x:v>
      </x:c>
      <x:c r="D45" s="15" t="str">
        <x:v>中信</x:v>
      </x:c>
      <x:c r="E45" s="15" t="str">
        <x:v>位置追加調査</x:v>
      </x:c>
      <x:c r="F45" s="15" t="str">
        <x:v>C</x:v>
      </x:c>
      <x:c r="G45" s="15" t="str">
        <x:v>R7-R11</x:v>
      </x:c>
      <x:c r="H45" s="15" t="str">
        <x:v>林道改良事業</x:v>
      </x:c>
      <x:c r="I45" s="15" t="str">
        <x:v>林道改良事業（改良L=33ｍ）</x:v>
      </x:c>
      <x:c r="J45" s="15" t="str"/>
      <x:c r="K45" s="15" t="str"/>
      <x:c r="L45" s="15" t="str">
        <x:v>位置未特定</x:v>
      </x:c>
      <x:c r="M45" s="15" t="str"/>
      <x:c r="N45" s="15" t="str"/>
      <x:c r="O45" s="15" t="str">
        <x:v>なし</x:v>
      </x:c>
      <x:c r="P45" s="15" t="str"/>
      <x:c r="Q45" s="15" t="str"/>
      <x:c r="R45" s="15" t="str"/>
      <x:c r="S45" s="15" t="str"/>
      <x:c r="T45" s="15" t="str">
        <x:v>未確認</x:v>
      </x:c>
      <x:c r="U45" s="15" t="str">
        <x:v>要確認</x:v>
      </x:c>
      <x:c r="V45" s="15" t="str">
        <x:v>長野県R7-R11計画掲載。入口・代表点未特定。</x:v>
      </x:c>
      <x:c r="W45" s="15" t="str">
        <x:v>通行可否・ゲート・路面は現地未確認。</x:v>
      </x:c>
      <x:c r="X45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 | 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45" s="15" t="str"/>
      <x:c r="Z45" s="15" t="str">
        <x:v>https://www.pref.nagano.lg.jp/ringyo/documents/sinkeikaku2025.pdf</x:v>
      </x:c>
      <x:c r="AA45" s="15" t="str">
        <x:v>2026-07-10</x:v>
      </x:c>
    </x:row>
    <x:row r="46">
      <x:c r="A46" s="15" t="str">
        <x:v>NGN-000045</x:v>
      </x:c>
      <x:c r="B46" s="15" t="str">
        <x:v>氷室線</x:v>
      </x:c>
      <x:c r="C46" s="15" t="str">
        <x:v>筑北村</x:v>
      </x:c>
      <x:c r="D46" s="15" t="str">
        <x:v>中信</x:v>
      </x:c>
      <x:c r="E46" s="15" t="str">
        <x:v>行政履歴確認済み</x:v>
      </x:c>
      <x:c r="F46" s="15" t="str">
        <x:v>D</x:v>
      </x:c>
      <x:c r="G46" s="15" t="str">
        <x:v>R2-R6／R2-R6第2回変更</x:v>
      </x:c>
      <x:c r="H46" s="15" t="str"/>
      <x:c r="I46" s="15" t="str"/>
      <x:c r="J46" s="15" t="str"/>
      <x:c r="K46" s="15" t="str"/>
      <x:c r="L46" s="15" t="str">
        <x:v>位置未特定</x:v>
      </x:c>
      <x:c r="M46" s="15" t="str"/>
      <x:c r="N46" s="15" t="str"/>
      <x:c r="O46" s="15" t="str">
        <x:v>なし</x:v>
      </x:c>
      <x:c r="P46" s="15" t="str"/>
      <x:c r="Q46" s="15" t="str"/>
      <x:c r="R46" s="15" t="str"/>
      <x:c r="S46" s="15" t="str"/>
      <x:c r="T46" s="15" t="str">
        <x:v>未確認</x:v>
      </x:c>
      <x:c r="U46" s="15" t="str">
        <x:v>要確認</x:v>
      </x:c>
      <x:c r="V46" s="15" t="str">
        <x:v>入口・代表点未特定。</x:v>
      </x:c>
      <x:c r="W46" s="15" t="str">
        <x:v>通行可否・ゲート・路面は現地未確認。</x:v>
      </x:c>
      <x:c r="X46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46" s="15" t="str"/>
      <x:c r="Z46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AA46" s="15" t="str">
        <x:v>2026-07-10</x:v>
      </x:c>
    </x:row>
    <x:row r="47">
      <x:c r="A47" s="15" t="str">
        <x:v>NGN-000046</x:v>
      </x:c>
      <x:c r="B47" s="15" t="str">
        <x:v>大川線</x:v>
      </x:c>
      <x:c r="C47" s="15" t="str">
        <x:v>長野市</x:v>
      </x:c>
      <x:c r="D47" s="15" t="str">
        <x:v>北信</x:v>
      </x:c>
      <x:c r="E47" s="15" t="str">
        <x:v>次点候補</x:v>
      </x:c>
      <x:c r="F47" s="15" t="str">
        <x:v>B</x:v>
      </x:c>
      <x:c r="G47" s="15" t="str">
        <x:v>R7-R11</x:v>
      </x:c>
      <x:c r="H47" s="15" t="str">
        <x:v>林道改良事業 | 林道点検診断・保全整備事業</x:v>
      </x:c>
      <x:c r="I47" s="15" t="str">
        <x:v>林道改良事業（改良L=380ｍ） | 点検診断・保全整備（点検診断L=823m）</x:v>
      </x:c>
      <x:c r="J47" s="15" t="str"/>
      <x:c r="K47" s="15" t="str"/>
      <x:c r="L47" s="15" t="str">
        <x:v>OSM名前一致代表点</x:v>
      </x:c>
      <x:c r="M47" s="15" t="str">
        <x:v>36.7788415</x:v>
      </x:c>
      <x:c r="N47" s="15" t="str">
        <x:v>137.9897810</x:v>
      </x:c>
      <x:c r="O47" s="15" t="str">
        <x:v>あり</x:v>
      </x:c>
      <x:c r="P47" s="15" t="str">
        <x:v>unclassified</x:v>
      </x:c>
      <x:c r="Q47" s="15" t="str"/>
      <x:c r="R47" s="15" t="str"/>
      <x:c r="S47" s="15" t="str">
        <x:v>172215158/172215236/173707891</x:v>
      </x:c>
      <x:c r="T47" s="15" t="str">
        <x:v>中</x:v>
      </x:c>
      <x:c r="U47" s="15" t="str">
        <x:v>要確認</x:v>
      </x:c>
      <x:c r="V47" s="15" t="str">
        <x:v>長野県R7-R11計画掲載。OSM名前一致を市町村境界で確認。</x:v>
      </x:c>
      <x:c r="W47" s="15" t="str">
        <x:v>通行可否・ゲート・路面は現地未確認。</x:v>
      </x:c>
      <x:c r="X47" s="15" t="str">
        <x:v>長野県「農山漁村地域整備計画の変更（第2回）」 https://www.pref.nagano.lg.jp/ringyo/documents/2022_01keikaku.pdf | 長野県「農山漁村地域整備計画 第2回変更（H27-H31）」 https://www.pref.nagano.lg.jp/ringyo/documents/henkou2.pdf</x:v>
      </x:c>
      <x:c r="Y47" s="15" t="str">
        <x:v>OpenStreetMap way 172215158（名前一致・市町村境界確認済み）</x:v>
      </x:c>
      <x:c r="Z47" s="15" t="str">
        <x:v>https://www.pref.nagano.lg.jp/ringyo/documents/sinkeikaku2025.pdf</x:v>
      </x:c>
      <x:c r="AA47" s="15" t="str">
        <x:v>2026-07-10</x:v>
      </x:c>
    </x:row>
    <x:row r="48">
      <x:c r="A48" s="15" t="str">
        <x:v>NGN-000047</x:v>
      </x:c>
      <x:c r="B48" s="15" t="str">
        <x:v>米子不動線</x:v>
      </x:c>
      <x:c r="C48" s="15" t="str">
        <x:v>須坂市</x:v>
      </x:c>
      <x:c r="D48" s="15" t="str">
        <x:v>北信</x:v>
      </x:c>
      <x:c r="E48" s="15" t="str">
        <x:v>位置追加調査</x:v>
      </x:c>
      <x:c r="F48" s="15" t="str">
        <x:v>C</x:v>
      </x:c>
      <x:c r="G48" s="15" t="str">
        <x:v>R7-R11</x:v>
      </x:c>
      <x:c r="H48" s="15" t="str">
        <x:v>林道点検診断・保全整備事業</x:v>
      </x:c>
      <x:c r="I48" s="15" t="str">
        <x:v>点検診断・保全整備（保全整備L=13m）</x:v>
      </x:c>
      <x:c r="J48" s="15" t="str"/>
      <x:c r="K48" s="15" t="str"/>
      <x:c r="L48" s="15" t="str">
        <x:v>位置未特定</x:v>
      </x:c>
      <x:c r="M48" s="15" t="str"/>
      <x:c r="N48" s="15" t="str"/>
      <x:c r="O48" s="15" t="str">
        <x:v>なし</x:v>
      </x:c>
      <x:c r="P48" s="15" t="str"/>
      <x:c r="Q48" s="15" t="str"/>
      <x:c r="R48" s="15" t="str"/>
      <x:c r="S48" s="15" t="str"/>
      <x:c r="T48" s="15" t="str">
        <x:v>未確認</x:v>
      </x:c>
      <x:c r="U48" s="15" t="str">
        <x:v>要確認</x:v>
      </x:c>
      <x:c r="V48" s="15" t="str">
        <x:v>長野県R7-R11計画掲載。入口・代表点未特定。</x:v>
      </x:c>
      <x:c r="W48" s="15" t="str">
        <x:v>通行可否・ゲート・路面は現地未確認。</x:v>
      </x:c>
      <x:c r="X48" s="15" t="str">
        <x:v>長野県「農山漁村地域整備計画の変更（第2回）」 https://www.pref.nagano.lg.jp/ringyo/documents/2022_01keikaku.pdf</x:v>
      </x:c>
      <x:c r="Y48" s="15" t="str"/>
      <x:c r="Z48" s="15" t="str">
        <x:v>https://www.pref.nagano.lg.jp/ringyo/documents/sinkeikaku2025.pdf</x:v>
      </x:c>
      <x:c r="AA48" s="15" t="str">
        <x:v>2026-07-10</x:v>
      </x:c>
    </x:row>
    <x:row r="49">
      <x:c r="A49" s="15" t="str">
        <x:v>NGN-000048</x:v>
      </x:c>
      <x:c r="B49" s="15" t="str">
        <x:v>矢崎線</x:v>
      </x:c>
      <x:c r="C49" s="15" t="str">
        <x:v>中野市</x:v>
      </x:c>
      <x:c r="D49" s="15" t="str">
        <x:v>北信</x:v>
      </x:c>
      <x:c r="E49" s="15" t="str">
        <x:v>行政履歴確認済み</x:v>
      </x:c>
      <x:c r="F49" s="15" t="str">
        <x:v>D</x:v>
      </x:c>
      <x:c r="G49" s="15" t="str">
        <x:v>R2-R6／R2-R6第2回変更</x:v>
      </x:c>
      <x:c r="H49" s="15" t="str"/>
      <x:c r="I49" s="15" t="str"/>
      <x:c r="J49" s="15" t="str"/>
      <x:c r="K49" s="15" t="str"/>
      <x:c r="L49" s="15" t="str">
        <x:v>位置未特定</x:v>
      </x:c>
      <x:c r="M49" s="15" t="str"/>
      <x:c r="N49" s="15" t="str"/>
      <x:c r="O49" s="15" t="str">
        <x:v>なし</x:v>
      </x:c>
      <x:c r="P49" s="15" t="str"/>
      <x:c r="Q49" s="15" t="str"/>
      <x:c r="R49" s="15" t="str"/>
      <x:c r="S49" s="15" t="str"/>
      <x:c r="T49" s="15" t="str">
        <x:v>未確認</x:v>
      </x:c>
      <x:c r="U49" s="15" t="str">
        <x:v>要確認</x:v>
      </x:c>
      <x:c r="V49" s="15" t="str">
        <x:v>入口・代表点未特定。</x:v>
      </x:c>
      <x:c r="W49" s="15" t="str">
        <x:v>通行可否・ゲート・路面は現地未確認。</x:v>
      </x:c>
      <x:c r="X49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49" s="15" t="str"/>
      <x:c r="Z49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AA49" s="15" t="str">
        <x:v>2026-07-10</x:v>
      </x:c>
    </x:row>
    <x:row r="50">
      <x:c r="A50" s="15" t="str">
        <x:v>NGN-000049</x:v>
      </x:c>
      <x:c r="B50" s="15" t="str">
        <x:v>金倉竜王線</x:v>
      </x:c>
      <x:c r="C50" s="15" t="str">
        <x:v>山ノ内町</x:v>
      </x:c>
      <x:c r="D50" s="15" t="str">
        <x:v>北信</x:v>
      </x:c>
      <x:c r="E50" s="15" t="str">
        <x:v>行政履歴確認済み</x:v>
      </x:c>
      <x:c r="F50" s="15" t="str">
        <x:v>D</x:v>
      </x:c>
      <x:c r="G50" s="15" t="str">
        <x:v>R2-R6／R2-R6第2回変更</x:v>
      </x:c>
      <x:c r="H50" s="15" t="str"/>
      <x:c r="I50" s="15" t="str"/>
      <x:c r="J50" s="15" t="str"/>
      <x:c r="K50" s="15" t="str"/>
      <x:c r="L50" s="15" t="str">
        <x:v>位置未特定</x:v>
      </x:c>
      <x:c r="M50" s="15" t="str"/>
      <x:c r="N50" s="15" t="str"/>
      <x:c r="O50" s="15" t="str">
        <x:v>なし</x:v>
      </x:c>
      <x:c r="P50" s="15" t="str"/>
      <x:c r="Q50" s="15" t="str"/>
      <x:c r="R50" s="15" t="str"/>
      <x:c r="S50" s="15" t="str"/>
      <x:c r="T50" s="15" t="str">
        <x:v>未確認</x:v>
      </x:c>
      <x:c r="U50" s="15" t="str">
        <x:v>要確認</x:v>
      </x:c>
      <x:c r="V50" s="15" t="str">
        <x:v>入口・代表点未特定。</x:v>
      </x:c>
      <x:c r="W50" s="15" t="str">
        <x:v>通行可否・ゲート・路面は現地未確認。</x:v>
      </x:c>
      <x:c r="X50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Y50" s="15" t="str"/>
      <x:c r="Z50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</x:v>
      </x:c>
      <x:c r="AA50" s="15" t="str">
        <x:v>2026-07-10</x:v>
      </x:c>
    </x:row>
    <x:row r="51">
      <x:c r="A51" s="15" t="str">
        <x:v>NGN-000050</x:v>
      </x:c>
      <x:c r="B51" s="15" t="str">
        <x:v>清水平線</x:v>
      </x:c>
      <x:c r="C51" s="15" t="str">
        <x:v>木島平村</x:v>
      </x:c>
      <x:c r="D51" s="15" t="str">
        <x:v>北信</x:v>
      </x:c>
      <x:c r="E51" s="15" t="str">
        <x:v>行政履歴確認済み</x:v>
      </x:c>
      <x:c r="F51" s="15" t="str">
        <x:v>D</x:v>
      </x:c>
      <x:c r="G51" s="15" t="str">
        <x:v>H22-H26／H27-H31／H27-H31第2回変更／R2-R6／R2-R6第2回変更</x:v>
      </x:c>
      <x:c r="H51" s="15" t="str"/>
      <x:c r="I51" s="15" t="str"/>
      <x:c r="J51" s="15" t="str"/>
      <x:c r="K51" s="15" t="str"/>
      <x:c r="L51" s="15" t="str">
        <x:v>位置未特定</x:v>
      </x:c>
      <x:c r="M51" s="15" t="str"/>
      <x:c r="N51" s="15" t="str"/>
      <x:c r="O51" s="15" t="str">
        <x:v>なし</x:v>
      </x:c>
      <x:c r="P51" s="15" t="str"/>
      <x:c r="Q51" s="15" t="str"/>
      <x:c r="R51" s="15" t="str"/>
      <x:c r="S51" s="15" t="str"/>
      <x:c r="T51" s="15" t="str">
        <x:v>未確認</x:v>
      </x:c>
      <x:c r="U51" s="15" t="str">
        <x:v>要確認</x:v>
      </x:c>
      <x:c r="V51" s="15" t="str">
        <x:v>入口・代表点未特定。</x:v>
      </x:c>
      <x:c r="W51" s="15" t="str">
        <x:v>通行可否・ゲート・路面は現地未確認。</x:v>
      </x:c>
      <x:c r="X51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 | 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51" s="15" t="str"/>
      <x:c r="Z51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 | 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51" s="15" t="str">
        <x:v>2026-07-10</x:v>
      </x:c>
    </x:row>
    <x:row r="52">
      <x:c r="A52" s="15" t="str">
        <x:v>NGN-000051</x:v>
      </x:c>
      <x:c r="B52" s="15" t="str">
        <x:v>秋山線</x:v>
      </x:c>
      <x:c r="C52" s="15" t="str">
        <x:v>栄村</x:v>
      </x:c>
      <x:c r="D52" s="15" t="str">
        <x:v>北信</x:v>
      </x:c>
      <x:c r="E52" s="15" t="str">
        <x:v>位置追加調査</x:v>
      </x:c>
      <x:c r="F52" s="15" t="str">
        <x:v>C</x:v>
      </x:c>
      <x:c r="G52" s="15" t="str">
        <x:v>R7-R11</x:v>
      </x:c>
      <x:c r="H52" s="15" t="str">
        <x:v>林道点検診断・保全整備事業</x:v>
      </x:c>
      <x:c r="I52" s="15" t="str">
        <x:v>点検診断・保全整備（点検診断L=93m）</x:v>
      </x:c>
      <x:c r="J52" s="15" t="str"/>
      <x:c r="K52" s="15" t="str"/>
      <x:c r="L52" s="15" t="str">
        <x:v>位置未特定</x:v>
      </x:c>
      <x:c r="M52" s="15" t="str"/>
      <x:c r="N52" s="15" t="str"/>
      <x:c r="O52" s="15" t="str">
        <x:v>なし</x:v>
      </x:c>
      <x:c r="P52" s="15" t="str"/>
      <x:c r="Q52" s="15" t="str"/>
      <x:c r="R52" s="15" t="str"/>
      <x:c r="S52" s="15" t="str"/>
      <x:c r="T52" s="15" t="str">
        <x:v>未確認</x:v>
      </x:c>
      <x:c r="U52" s="15" t="str">
        <x:v>要確認</x:v>
      </x:c>
      <x:c r="V52" s="15" t="str">
        <x:v>長野県R7-R11計画掲載。入口・代表点未特定。</x:v>
      </x:c>
      <x:c r="W52" s="15" t="str">
        <x:v>通行可否・ゲート・路面は現地未確認。</x:v>
      </x:c>
      <x:c r="X52" s="15" t="str">
        <x:v>長野県「農山漁村地域整備計画の変更（第2回）」 https://www.pref.nagano.lg.jp/ringyo/documents/2022_01keikaku.pdf | 長野県「農山漁村地域整備計画（R2-R6）」 https://www.pref.nagano.lg.jp/ringyo/documents/nousangyosonchikiseibikeikakur2~r6.pdf | 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52" s="15" t="str"/>
      <x:c r="Z52" s="15" t="str">
        <x:v>https://www.pref.nagano.lg.jp/ringyo/documents/sinkeikaku2025.pdf</x:v>
      </x:c>
      <x:c r="AA52" s="15" t="str">
        <x:v>2026-07-10</x:v>
      </x:c>
    </x:row>
    <x:row r="53">
      <x:c r="A53" s="15" t="str">
        <x:v>NGN-000052</x:v>
      </x:c>
      <x:c r="B53" s="15" t="str">
        <x:v>長谷高遠線</x:v>
      </x:c>
      <x:c r="C53" s="15" t="str">
        <x:v>伊那市</x:v>
      </x:c>
      <x:c r="D53" s="15" t="str">
        <x:v>南信</x:v>
      </x:c>
      <x:c r="E53" s="15" t="str">
        <x:v>行政履歴確認済み</x:v>
      </x:c>
      <x:c r="F53" s="15" t="str">
        <x:v>D</x:v>
      </x:c>
      <x:c r="G53" s="15" t="str">
        <x:v>H22-H26／H27-H31／H27-H31第2回変更</x:v>
      </x:c>
      <x:c r="H53" s="15" t="str"/>
      <x:c r="I53" s="15" t="str"/>
      <x:c r="J53" s="15" t="str"/>
      <x:c r="K53" s="15" t="str"/>
      <x:c r="L53" s="15" t="str">
        <x:v>位置未特定</x:v>
      </x:c>
      <x:c r="M53" s="15" t="str"/>
      <x:c r="N53" s="15" t="str"/>
      <x:c r="O53" s="15" t="str">
        <x:v>なし</x:v>
      </x:c>
      <x:c r="P53" s="15" t="str"/>
      <x:c r="Q53" s="15" t="str"/>
      <x:c r="R53" s="15" t="str"/>
      <x:c r="S53" s="15" t="str"/>
      <x:c r="T53" s="15" t="str">
        <x:v>未確認</x:v>
      </x:c>
      <x:c r="U53" s="15" t="str">
        <x:v>要確認</x:v>
      </x:c>
      <x:c r="V53" s="15" t="str">
        <x:v>入口・代表点未特定。</x:v>
      </x:c>
      <x:c r="W53" s="15" t="str">
        <x:v>通行可否・ゲート・路面は現地未確認。</x:v>
      </x:c>
      <x:c r="X53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53" s="15" t="str"/>
      <x:c r="Z53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53" s="15" t="str">
        <x:v>2026-07-10</x:v>
      </x:c>
    </x:row>
    <x:row r="54">
      <x:c r="A54" s="15" t="str">
        <x:v>NGN-000053</x:v>
      </x:c>
      <x:c r="B54" s="15" t="str">
        <x:v>高森山線</x:v>
      </x:c>
      <x:c r="C54" s="15" t="str">
        <x:v>大鹿村</x:v>
      </x:c>
      <x:c r="D54" s="15" t="str">
        <x:v>南信</x:v>
      </x:c>
      <x:c r="E54" s="15" t="str">
        <x:v>行政履歴確認済み</x:v>
      </x:c>
      <x:c r="F54" s="15" t="str">
        <x:v>D</x:v>
      </x:c>
      <x:c r="G54" s="15" t="str">
        <x:v>H22-H26／H27-H31／H27-H31第2回変更</x:v>
      </x:c>
      <x:c r="H54" s="15" t="str"/>
      <x:c r="I54" s="15" t="str"/>
      <x:c r="J54" s="15" t="str"/>
      <x:c r="K54" s="15" t="str"/>
      <x:c r="L54" s="15" t="str">
        <x:v>位置未特定</x:v>
      </x:c>
      <x:c r="M54" s="15" t="str"/>
      <x:c r="N54" s="15" t="str"/>
      <x:c r="O54" s="15" t="str">
        <x:v>なし</x:v>
      </x:c>
      <x:c r="P54" s="15" t="str"/>
      <x:c r="Q54" s="15" t="str"/>
      <x:c r="R54" s="15" t="str"/>
      <x:c r="S54" s="15" t="str"/>
      <x:c r="T54" s="15" t="str">
        <x:v>未確認</x:v>
      </x:c>
      <x:c r="U54" s="15" t="str">
        <x:v>要確認</x:v>
      </x:c>
      <x:c r="V54" s="15" t="str">
        <x:v>入口・代表点未特定。</x:v>
      </x:c>
      <x:c r="W54" s="15" t="str">
        <x:v>通行可否・ゲート・路面は現地未確認。</x:v>
      </x:c>
      <x:c r="X54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54" s="15" t="str"/>
      <x:c r="Z54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54" s="15" t="str">
        <x:v>2026-07-10</x:v>
      </x:c>
    </x:row>
    <x:row r="55">
      <x:c r="A55" s="15" t="str">
        <x:v>NGN-000054</x:v>
      </x:c>
      <x:c r="B55" s="15" t="str">
        <x:v>高平線</x:v>
      </x:c>
      <x:c r="C55" s="15" t="str">
        <x:v>飯田市</x:v>
      </x:c>
      <x:c r="D55" s="15" t="str">
        <x:v>南信</x:v>
      </x:c>
      <x:c r="E55" s="15" t="str">
        <x:v>行政履歴確認済み</x:v>
      </x:c>
      <x:c r="F55" s="15" t="str">
        <x:v>D</x:v>
      </x:c>
      <x:c r="G55" s="15" t="str">
        <x:v>H27-H31第2回変更</x:v>
      </x:c>
      <x:c r="H55" s="15" t="str"/>
      <x:c r="I55" s="15" t="str"/>
      <x:c r="J55" s="15" t="str"/>
      <x:c r="K55" s="15" t="str"/>
      <x:c r="L55" s="15" t="str">
        <x:v>位置未特定</x:v>
      </x:c>
      <x:c r="M55" s="15" t="str"/>
      <x:c r="N55" s="15" t="str"/>
      <x:c r="O55" s="15" t="str">
        <x:v>なし</x:v>
      </x:c>
      <x:c r="P55" s="15" t="str"/>
      <x:c r="Q55" s="15" t="str"/>
      <x:c r="R55" s="15" t="str"/>
      <x:c r="S55" s="15" t="str"/>
      <x:c r="T55" s="15" t="str">
        <x:v>未確認</x:v>
      </x:c>
      <x:c r="U55" s="15" t="str">
        <x:v>要確認</x:v>
      </x:c>
      <x:c r="V55" s="15" t="str">
        <x:v>入口・代表点未特定。</x:v>
      </x:c>
      <x:c r="W55" s="15" t="str">
        <x:v>通行可否・ゲート・路面は現地未確認。</x:v>
      </x:c>
      <x:c r="X55" s="15" t="str">
        <x:v>長野県「農山漁村地域整備計画 第2回変更（H27-H31）」 https://www.pref.nagano.lg.jp/ringyo/documents/henkou2.pdf</x:v>
      </x:c>
      <x:c r="Y55" s="15" t="str"/>
      <x:c r="Z55" s="15" t="str">
        <x:v>長野県「農山漁村地域整備計画 第2回変更（H27-H31）」 https://www.pref.nagano.lg.jp/ringyo/documents/henkou2.pdf</x:v>
      </x:c>
      <x:c r="AA55" s="15" t="str">
        <x:v>2026-07-10</x:v>
      </x:c>
    </x:row>
    <x:row r="56">
      <x:c r="A56" s="15" t="str">
        <x:v>NGN-000055</x:v>
      </x:c>
      <x:c r="B56" s="15" t="str">
        <x:v>天白高烏谷線</x:v>
      </x:c>
      <x:c r="C56" s="15" t="str">
        <x:v>駒ヶ根市</x:v>
      </x:c>
      <x:c r="D56" s="15" t="str">
        <x:v>南信</x:v>
      </x:c>
      <x:c r="E56" s="15" t="str">
        <x:v>行政履歴確認済み</x:v>
      </x:c>
      <x:c r="F56" s="15" t="str">
        <x:v>D</x:v>
      </x:c>
      <x:c r="G56" s="15" t="str">
        <x:v>H22-H26／H27-H31／H27-H31第2回変更</x:v>
      </x:c>
      <x:c r="H56" s="15" t="str"/>
      <x:c r="I56" s="15" t="str"/>
      <x:c r="J56" s="15" t="str"/>
      <x:c r="K56" s="15" t="str"/>
      <x:c r="L56" s="15" t="str">
        <x:v>位置未特定</x:v>
      </x:c>
      <x:c r="M56" s="15" t="str"/>
      <x:c r="N56" s="15" t="str"/>
      <x:c r="O56" s="15" t="str">
        <x:v>なし</x:v>
      </x:c>
      <x:c r="P56" s="15" t="str"/>
      <x:c r="Q56" s="15" t="str"/>
      <x:c r="R56" s="15" t="str"/>
      <x:c r="S56" s="15" t="str"/>
      <x:c r="T56" s="15" t="str">
        <x:v>未確認</x:v>
      </x:c>
      <x:c r="U56" s="15" t="str">
        <x:v>要確認</x:v>
      </x:c>
      <x:c r="V56" s="15" t="str">
        <x:v>入口・代表点未特定。</x:v>
      </x:c>
      <x:c r="W56" s="15" t="str">
        <x:v>通行可否・ゲート・路面は現地未確認。</x:v>
      </x:c>
      <x:c r="X56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56" s="15" t="str"/>
      <x:c r="Z56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56" s="15" t="str">
        <x:v>2026-07-10</x:v>
      </x:c>
    </x:row>
    <x:row r="57">
      <x:c r="A57" s="15" t="str">
        <x:v>NGN-000056</x:v>
      </x:c>
      <x:c r="B57" s="15" t="str">
        <x:v>陣馬形線</x:v>
      </x:c>
      <x:c r="C57" s="15" t="str">
        <x:v>中川村</x:v>
      </x:c>
      <x:c r="D57" s="15" t="str">
        <x:v>南信</x:v>
      </x:c>
      <x:c r="E57" s="15" t="str">
        <x:v>行政履歴確認済み</x:v>
      </x:c>
      <x:c r="F57" s="15" t="str">
        <x:v>D</x:v>
      </x:c>
      <x:c r="G57" s="15" t="str">
        <x:v>H22-H26／H27-H31／H27-H31第2回変更</x:v>
      </x:c>
      <x:c r="H57" s="15" t="str"/>
      <x:c r="I57" s="15" t="str"/>
      <x:c r="J57" s="15" t="str"/>
      <x:c r="K57" s="15" t="str"/>
      <x:c r="L57" s="15" t="str">
        <x:v>位置未特定</x:v>
      </x:c>
      <x:c r="M57" s="15" t="str"/>
      <x:c r="N57" s="15" t="str"/>
      <x:c r="O57" s="15" t="str">
        <x:v>なし</x:v>
      </x:c>
      <x:c r="P57" s="15" t="str"/>
      <x:c r="Q57" s="15" t="str"/>
      <x:c r="R57" s="15" t="str"/>
      <x:c r="S57" s="15" t="str"/>
      <x:c r="T57" s="15" t="str">
        <x:v>未確認</x:v>
      </x:c>
      <x:c r="U57" s="15" t="str">
        <x:v>要確認</x:v>
      </x:c>
      <x:c r="V57" s="15" t="str">
        <x:v>入口・代表点未特定。</x:v>
      </x:c>
      <x:c r="W57" s="15" t="str">
        <x:v>通行可否・ゲート・路面は現地未確認。</x:v>
      </x:c>
      <x:c r="X57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57" s="15" t="str"/>
      <x:c r="Z57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57" s="15" t="str">
        <x:v>2026-07-10</x:v>
      </x:c>
    </x:row>
    <x:row r="58">
      <x:c r="A58" s="15" t="str">
        <x:v>NGN-000057</x:v>
      </x:c>
      <x:c r="B58" s="15" t="str">
        <x:v>銭峯線</x:v>
      </x:c>
      <x:c r="C58" s="15" t="str">
        <x:v>中川村</x:v>
      </x:c>
      <x:c r="D58" s="15" t="str">
        <x:v>南信</x:v>
      </x:c>
      <x:c r="E58" s="15" t="str">
        <x:v>行政履歴確認済み</x:v>
      </x:c>
      <x:c r="F58" s="15" t="str">
        <x:v>D</x:v>
      </x:c>
      <x:c r="G58" s="15" t="str">
        <x:v>H27-H31第2回変更</x:v>
      </x:c>
      <x:c r="H58" s="15" t="str"/>
      <x:c r="I58" s="15" t="str"/>
      <x:c r="J58" s="15" t="str"/>
      <x:c r="K58" s="15" t="str"/>
      <x:c r="L58" s="15" t="str">
        <x:v>位置未特定</x:v>
      </x:c>
      <x:c r="M58" s="15" t="str"/>
      <x:c r="N58" s="15" t="str"/>
      <x:c r="O58" s="15" t="str">
        <x:v>なし</x:v>
      </x:c>
      <x:c r="P58" s="15" t="str"/>
      <x:c r="Q58" s="15" t="str"/>
      <x:c r="R58" s="15" t="str"/>
      <x:c r="S58" s="15" t="str"/>
      <x:c r="T58" s="15" t="str">
        <x:v>未確認</x:v>
      </x:c>
      <x:c r="U58" s="15" t="str">
        <x:v>要確認</x:v>
      </x:c>
      <x:c r="V58" s="15" t="str">
        <x:v>入口・代表点未特定。</x:v>
      </x:c>
      <x:c r="W58" s="15" t="str">
        <x:v>通行可否・ゲート・路面は現地未確認。</x:v>
      </x:c>
      <x:c r="X58" s="15" t="str">
        <x:v>長野県「農山漁村地域整備計画 第2回変更（H27-H31）」 https://www.pref.nagano.lg.jp/ringyo/documents/henkou2.pdf</x:v>
      </x:c>
      <x:c r="Y58" s="15" t="str"/>
      <x:c r="Z58" s="15" t="str">
        <x:v>長野県「農山漁村地域整備計画 第2回変更（H27-H31）」 https://www.pref.nagano.lg.jp/ringyo/documents/henkou2.pdf</x:v>
      </x:c>
      <x:c r="AA58" s="15" t="str">
        <x:v>2026-07-10</x:v>
      </x:c>
    </x:row>
    <x:row r="59">
      <x:c r="A59" s="15" t="str">
        <x:v>NGN-000058</x:v>
      </x:c>
      <x:c r="B59" s="15" t="str">
        <x:v>間沢川線</x:v>
      </x:c>
      <x:c r="C59" s="15" t="str">
        <x:v>松川町・豊丘村</x:v>
      </x:c>
      <x:c r="D59" s="15" t="str">
        <x:v>南信</x:v>
      </x:c>
      <x:c r="E59" s="15" t="str">
        <x:v>位置追加調査</x:v>
      </x:c>
      <x:c r="F59" s="15" t="str">
        <x:v>C</x:v>
      </x:c>
      <x:c r="G59" s="15" t="str">
        <x:v>R7-R11</x:v>
      </x:c>
      <x:c r="H59" s="15" t="str">
        <x:v>林道点検診断・保全整備事業</x:v>
      </x:c>
      <x:c r="I59" s="15" t="str">
        <x:v>点検診断・保全整備（点検診断L=26m）／点検診断・保全整備（点検診断L=50m） | 点検診断・保全整備（保全整備L=13m）</x:v>
      </x:c>
      <x:c r="J59" s="15" t="str"/>
      <x:c r="K59" s="15" t="str"/>
      <x:c r="L59" s="15" t="str">
        <x:v>位置未特定</x:v>
      </x:c>
      <x:c r="M59" s="15" t="str"/>
      <x:c r="N59" s="15" t="str"/>
      <x:c r="O59" s="15" t="str">
        <x:v>なし</x:v>
      </x:c>
      <x:c r="P59" s="15" t="str"/>
      <x:c r="Q59" s="15" t="str"/>
      <x:c r="R59" s="15" t="str"/>
      <x:c r="S59" s="15" t="str"/>
      <x:c r="T59" s="15" t="str">
        <x:v>未確認</x:v>
      </x:c>
      <x:c r="U59" s="15" t="str">
        <x:v>要確認</x:v>
      </x:c>
      <x:c r="V59" s="15" t="str">
        <x:v>長野県R7-R11計画掲載。入口・代表点未特定。</x:v>
      </x:c>
      <x:c r="W59" s="15" t="str">
        <x:v>通行可否・ゲート・路面は現地未確認。同名路線が複数市町村に存在する可能性あり。</x:v>
      </x:c>
      <x:c r="X59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59" s="15" t="str"/>
      <x:c r="Z59" s="15" t="str">
        <x:v>https://www.pref.nagano.lg.jp/ringyo/documents/sinkeikaku2025.pdf</x:v>
      </x:c>
      <x:c r="AA59" s="15" t="str">
        <x:v>2026-07-10</x:v>
      </x:c>
    </x:row>
    <x:row r="60">
      <x:c r="A60" s="15" t="str">
        <x:v>NGN-000059</x:v>
      </x:c>
      <x:c r="B60" s="15" t="str">
        <x:v>桧沢和合路線</x:v>
      </x:c>
      <x:c r="C60" s="15" t="str">
        <x:v>飯田市</x:v>
      </x:c>
      <x:c r="D60" s="15" t="str">
        <x:v>南信</x:v>
      </x:c>
      <x:c r="E60" s="15" t="str">
        <x:v>行政履歴確認済み</x:v>
      </x:c>
      <x:c r="F60" s="15" t="str">
        <x:v>D</x:v>
      </x:c>
      <x:c r="G60" s="15" t="str">
        <x:v>H27-H31／H27-H31第2回変更</x:v>
      </x:c>
      <x:c r="H60" s="15" t="str"/>
      <x:c r="I60" s="15" t="str"/>
      <x:c r="J60" s="15" t="str"/>
      <x:c r="K60" s="15" t="str"/>
      <x:c r="L60" s="15" t="str">
        <x:v>位置未特定</x:v>
      </x:c>
      <x:c r="M60" s="15" t="str"/>
      <x:c r="N60" s="15" t="str"/>
      <x:c r="O60" s="15" t="str">
        <x:v>なし</x:v>
      </x:c>
      <x:c r="P60" s="15" t="str"/>
      <x:c r="Q60" s="15" t="str"/>
      <x:c r="R60" s="15" t="str"/>
      <x:c r="S60" s="15" t="str"/>
      <x:c r="T60" s="15" t="str">
        <x:v>未確認</x:v>
      </x:c>
      <x:c r="U60" s="15" t="str">
        <x:v>要確認</x:v>
      </x:c>
      <x:c r="V60" s="15" t="str">
        <x:v>入口・代表点未特定。</x:v>
      </x:c>
      <x:c r="W60" s="15" t="str">
        <x:v>通行可否・ゲート・路面は現地未確認。</x:v>
      </x:c>
      <x:c r="X60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Y60" s="15" t="str"/>
      <x:c r="Z60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AA60" s="15" t="str">
        <x:v>2026-07-10</x:v>
      </x:c>
    </x:row>
    <x:row r="61">
      <x:c r="A61" s="15" t="str">
        <x:v>NGN-000060</x:v>
      </x:c>
      <x:c r="B61" s="15" t="str">
        <x:v>万古川線</x:v>
      </x:c>
      <x:c r="C61" s="15" t="str">
        <x:v>泰阜村</x:v>
      </x:c>
      <x:c r="D61" s="15" t="str">
        <x:v>南信</x:v>
      </x:c>
      <x:c r="E61" s="15" t="str">
        <x:v>位置追加調査</x:v>
      </x:c>
      <x:c r="F61" s="15" t="str">
        <x:v>C</x:v>
      </x:c>
      <x:c r="G61" s="15" t="str">
        <x:v>R7-R11</x:v>
      </x:c>
      <x:c r="H61" s="15" t="str">
        <x:v>林道点検診断・保全整備事業</x:v>
      </x:c>
      <x:c r="I61" s="15" t="str">
        <x:v>点検診断・保全整備（点検診断L=262m）</x:v>
      </x:c>
      <x:c r="J61" s="15" t="str"/>
      <x:c r="K61" s="15" t="str"/>
      <x:c r="L61" s="15" t="str">
        <x:v>位置未特定</x:v>
      </x:c>
      <x:c r="M61" s="15" t="str"/>
      <x:c r="N61" s="15" t="str"/>
      <x:c r="O61" s="15" t="str">
        <x:v>なし</x:v>
      </x:c>
      <x:c r="P61" s="15" t="str"/>
      <x:c r="Q61" s="15" t="str"/>
      <x:c r="R61" s="15" t="str"/>
      <x:c r="S61" s="15" t="str"/>
      <x:c r="T61" s="15" t="str">
        <x:v>未確認</x:v>
      </x:c>
      <x:c r="U61" s="15" t="str">
        <x:v>要確認</x:v>
      </x:c>
      <x:c r="V61" s="15" t="str">
        <x:v>長野県R7-R11計画掲載。入口・代表点未特定。</x:v>
      </x:c>
      <x:c r="W61" s="15" t="str">
        <x:v>通行可否・ゲート・路面は現地未確認。</x:v>
      </x:c>
      <x:c r="X61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61" s="15" t="str"/>
      <x:c r="Z61" s="15" t="str">
        <x:v>https://www.pref.nagano.lg.jp/ringyo/documents/sinkeikaku2025.pdf</x:v>
      </x:c>
      <x:c r="AA61" s="15" t="str">
        <x:v>2026-07-10</x:v>
      </x:c>
    </x:row>
    <x:row r="62">
      <x:c r="A62" s="15" t="str">
        <x:v>NGN-000061</x:v>
      </x:c>
      <x:c r="B62" s="15" t="str">
        <x:v>中峰黒川線</x:v>
      </x:c>
      <x:c r="C62" s="15" t="str">
        <x:v>大鹿村</x:v>
      </x:c>
      <x:c r="D62" s="15" t="str">
        <x:v>南信</x:v>
      </x:c>
      <x:c r="E62" s="15" t="str">
        <x:v>行政履歴確認済み</x:v>
      </x:c>
      <x:c r="F62" s="15" t="str">
        <x:v>D</x:v>
      </x:c>
      <x:c r="G62" s="15" t="str">
        <x:v>H22-H26／H27-H31／H27-H31第2回変更</x:v>
      </x:c>
      <x:c r="H62" s="15" t="str"/>
      <x:c r="I62" s="15" t="str"/>
      <x:c r="J62" s="15" t="str"/>
      <x:c r="K62" s="15" t="str"/>
      <x:c r="L62" s="15" t="str">
        <x:v>位置未特定</x:v>
      </x:c>
      <x:c r="M62" s="15" t="str"/>
      <x:c r="N62" s="15" t="str"/>
      <x:c r="O62" s="15" t="str">
        <x:v>なし</x:v>
      </x:c>
      <x:c r="P62" s="15" t="str"/>
      <x:c r="Q62" s="15" t="str"/>
      <x:c r="R62" s="15" t="str"/>
      <x:c r="S62" s="15" t="str"/>
      <x:c r="T62" s="15" t="str">
        <x:v>未確認</x:v>
      </x:c>
      <x:c r="U62" s="15" t="str">
        <x:v>要確認</x:v>
      </x:c>
      <x:c r="V62" s="15" t="str">
        <x:v>入口・代表点未特定。</x:v>
      </x:c>
      <x:c r="W62" s="15" t="str">
        <x:v>通行可否・ゲート・路面は現地未確認。</x:v>
      </x:c>
      <x:c r="X62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62" s="15" t="str"/>
      <x:c r="Z62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62" s="15" t="str">
        <x:v>2026-07-10</x:v>
      </x:c>
    </x:row>
    <x:row r="63">
      <x:c r="A63" s="15" t="str">
        <x:v>NGN-000062</x:v>
      </x:c>
      <x:c r="B63" s="15" t="str">
        <x:v>押の沢線</x:v>
      </x:c>
      <x:c r="C63" s="15" t="str">
        <x:v>飯田市</x:v>
      </x:c>
      <x:c r="D63" s="15" t="str">
        <x:v>南信</x:v>
      </x:c>
      <x:c r="E63" s="15" t="str">
        <x:v>行政履歴確認済み</x:v>
      </x:c>
      <x:c r="F63" s="15" t="str">
        <x:v>D</x:v>
      </x:c>
      <x:c r="G63" s="15" t="str">
        <x:v>H27-H31／H27-H31第2回変更</x:v>
      </x:c>
      <x:c r="H63" s="15" t="str"/>
      <x:c r="I63" s="15" t="str"/>
      <x:c r="J63" s="15" t="str"/>
      <x:c r="K63" s="15" t="str"/>
      <x:c r="L63" s="15" t="str">
        <x:v>位置未特定</x:v>
      </x:c>
      <x:c r="M63" s="15" t="str"/>
      <x:c r="N63" s="15" t="str"/>
      <x:c r="O63" s="15" t="str">
        <x:v>なし</x:v>
      </x:c>
      <x:c r="P63" s="15" t="str"/>
      <x:c r="Q63" s="15" t="str"/>
      <x:c r="R63" s="15" t="str"/>
      <x:c r="S63" s="15" t="str"/>
      <x:c r="T63" s="15" t="str">
        <x:v>未確認</x:v>
      </x:c>
      <x:c r="U63" s="15" t="str">
        <x:v>要確認</x:v>
      </x:c>
      <x:c r="V63" s="15" t="str">
        <x:v>入口・代表点未特定。</x:v>
      </x:c>
      <x:c r="W63" s="15" t="str">
        <x:v>通行可否・ゲート・路面は現地未確認。</x:v>
      </x:c>
      <x:c r="X63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Y63" s="15" t="str"/>
      <x:c r="Z63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AA63" s="15" t="str">
        <x:v>2026-07-10</x:v>
      </x:c>
    </x:row>
    <x:row r="64">
      <x:c r="A64" s="15" t="str">
        <x:v>NGN-000063</x:v>
      </x:c>
      <x:c r="B64" s="15" t="str">
        <x:v>鳥倉線</x:v>
      </x:c>
      <x:c r="C64" s="15" t="str">
        <x:v>大鹿村</x:v>
      </x:c>
      <x:c r="D64" s="15" t="str">
        <x:v>南信</x:v>
      </x:c>
      <x:c r="E64" s="15" t="str">
        <x:v>全県有力候補</x:v>
      </x:c>
      <x:c r="F64" s="15" t="str">
        <x:v>A</x:v>
      </x:c>
      <x:c r="G64" s="15" t="str">
        <x:v>R7-R11</x:v>
      </x:c>
      <x:c r="H64" s="15" t="str">
        <x:v>林道点検診断・保全整備事業</x:v>
      </x:c>
      <x:c r="I64" s="15" t="str">
        <x:v>点検診断・保全整備（点検診断L=236m）</x:v>
      </x:c>
      <x:c r="J64" s="15" t="str"/>
      <x:c r="K64" s="15" t="str"/>
      <x:c r="L64" s="15" t="str">
        <x:v>OSM名前一致代表点</x:v>
      </x:c>
      <x:c r="M64" s="15" t="str">
        <x:v>35.5494156</x:v>
      </x:c>
      <x:c r="N64" s="15" t="str">
        <x:v>138.1147373</x:v>
      </x:c>
      <x:c r="O64" s="15" t="str">
        <x:v>あり</x:v>
      </x:c>
      <x:c r="P64" s="15" t="str">
        <x:v>unclassified/track</x:v>
      </x:c>
      <x:c r="Q64" s="15" t="str">
        <x:v>asphalt</x:v>
      </x:c>
      <x:c r="R64" s="15" t="str">
        <x:v>grade2</x:v>
      </x:c>
      <x:c r="S64" s="15" t="str">
        <x:v>154400734/154400744/154400754/154400761/154400826/154400841/154581900/154797206/154797262/154797282/154797285/154797329/598309082/598309083/598327521/884939103/1195956152/1195956153/1229231245/1229231246/1284760625/1284764767/1284764768/1284766051/1284766052/1284766060/1284766061</x:v>
      </x:c>
      <x:c r="T64" s="15" t="str">
        <x:v>強</x:v>
      </x:c>
      <x:c r="U64" s="15" t="str">
        <x:v>要確認</x:v>
      </x:c>
      <x:c r="V64" s="15" t="str">
        <x:v>長野県R7-R11計画掲載。OSM名前一致を市町村境界で確認。trackまたは未舗装系タグあり。</x:v>
      </x:c>
      <x:c r="W64" s="15" t="str">
        <x:v>通行可否・ゲート・路面は現地未確認。</x:v>
      </x:c>
      <x:c r="X64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64" s="15" t="str">
        <x:v>OpenStreetMap way 598309082（名前一致・市町村境界確認済み）</x:v>
      </x:c>
      <x:c r="Z64" s="15" t="str">
        <x:v>https://www.pref.nagano.lg.jp/ringyo/documents/sinkeikaku2025.pdf</x:v>
      </x:c>
      <x:c r="AA64" s="15" t="str">
        <x:v>2026-07-10</x:v>
      </x:c>
    </x:row>
    <x:row r="65">
      <x:c r="A65" s="15" t="str">
        <x:v>NGN-000064</x:v>
      </x:c>
      <x:c r="B65" s="15" t="str">
        <x:v>釜沢線</x:v>
      </x:c>
      <x:c r="C65" s="15" t="str">
        <x:v>大鹿村</x:v>
      </x:c>
      <x:c r="D65" s="15" t="str">
        <x:v>南信</x:v>
      </x:c>
      <x:c r="E65" s="15" t="str">
        <x:v>行政履歴確認済み</x:v>
      </x:c>
      <x:c r="F65" s="15" t="str">
        <x:v>D</x:v>
      </x:c>
      <x:c r="G65" s="15" t="str">
        <x:v>H22-H26／H27-H31／H27-H31第2回変更</x:v>
      </x:c>
      <x:c r="H65" s="15" t="str"/>
      <x:c r="I65" s="15" t="str"/>
      <x:c r="J65" s="15" t="str"/>
      <x:c r="K65" s="15" t="str"/>
      <x:c r="L65" s="15" t="str">
        <x:v>位置未特定</x:v>
      </x:c>
      <x:c r="M65" s="15" t="str"/>
      <x:c r="N65" s="15" t="str"/>
      <x:c r="O65" s="15" t="str">
        <x:v>なし</x:v>
      </x:c>
      <x:c r="P65" s="15" t="str"/>
      <x:c r="Q65" s="15" t="str"/>
      <x:c r="R65" s="15" t="str"/>
      <x:c r="S65" s="15" t="str"/>
      <x:c r="T65" s="15" t="str">
        <x:v>未確認</x:v>
      </x:c>
      <x:c r="U65" s="15" t="str">
        <x:v>要確認</x:v>
      </x:c>
      <x:c r="V65" s="15" t="str">
        <x:v>入口・代表点未特定。</x:v>
      </x:c>
      <x:c r="W65" s="15" t="str">
        <x:v>通行可否・ゲート・路面は現地未確認。</x:v>
      </x:c>
      <x:c r="X65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65" s="15" t="str"/>
      <x:c r="Z65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65" s="15" t="str">
        <x:v>2026-07-10</x:v>
      </x:c>
    </x:row>
    <x:row r="66">
      <x:c r="A66" s="15" t="str">
        <x:v>NGN-000065</x:v>
      </x:c>
      <x:c r="B66" s="15" t="str">
        <x:v>虫川新野峠線</x:v>
      </x:c>
      <x:c r="C66" s="15" t="str">
        <x:v>天龍村・木曽町</x:v>
      </x:c>
      <x:c r="D66" s="15" t="str">
        <x:v>中信</x:v>
      </x:c>
      <x:c r="E66" s="15" t="str">
        <x:v>行政履歴確認済み</x:v>
      </x:c>
      <x:c r="F66" s="15" t="str">
        <x:v>D</x:v>
      </x:c>
      <x:c r="G66" s="15" t="str">
        <x:v>H22-H26／H27-H31／H27-H31第2回変更／R2-R6／R2-R6第2回変更</x:v>
      </x:c>
      <x:c r="H66" s="15" t="str"/>
      <x:c r="I66" s="15" t="str"/>
      <x:c r="J66" s="15" t="str"/>
      <x:c r="K66" s="15" t="str"/>
      <x:c r="L66" s="15" t="str">
        <x:v>位置未特定</x:v>
      </x:c>
      <x:c r="M66" s="15" t="str"/>
      <x:c r="N66" s="15" t="str"/>
      <x:c r="O66" s="15" t="str">
        <x:v>なし</x:v>
      </x:c>
      <x:c r="P66" s="15" t="str"/>
      <x:c r="Q66" s="15" t="str"/>
      <x:c r="R66" s="15" t="str"/>
      <x:c r="S66" s="15" t="str"/>
      <x:c r="T66" s="15" t="str">
        <x:v>未確認</x:v>
      </x:c>
      <x:c r="U66" s="15" t="str">
        <x:v>要確認</x:v>
      </x:c>
      <x:c r="V66" s="15" t="str">
        <x:v>入口・代表点未特定。</x:v>
      </x:c>
      <x:c r="W66" s="15" t="str">
        <x:v>通行可否・ゲート・路面は現地未確認。同名路線が複数市町村に存在する可能性あり。</x:v>
      </x:c>
      <x:c r="X66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66" s="15" t="str"/>
      <x:c r="Z66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66" s="15" t="str">
        <x:v>2026-07-10</x:v>
      </x:c>
    </x:row>
    <x:row r="67">
      <x:c r="A67" s="15" t="str">
        <x:v>NGN-000066</x:v>
      </x:c>
      <x:c r="B67" s="15" t="str">
        <x:v>熊沢幸沢線</x:v>
      </x:c>
      <x:c r="C67" s="15" t="str">
        <x:v>木曽町</x:v>
      </x:c>
      <x:c r="D67" s="15" t="str">
        <x:v>中信</x:v>
      </x:c>
      <x:c r="E67" s="15" t="str">
        <x:v>位置追加調査</x:v>
      </x:c>
      <x:c r="F67" s="15" t="str">
        <x:v>C</x:v>
      </x:c>
      <x:c r="G67" s="15" t="str">
        <x:v>R7-R11</x:v>
      </x:c>
      <x:c r="H67" s="15" t="str">
        <x:v>林道点検診断・保全整備事業</x:v>
      </x:c>
      <x:c r="I67" s="15" t="str">
        <x:v>点検診断・保全整備（点検診断L=224m）</x:v>
      </x:c>
      <x:c r="J67" s="15" t="str"/>
      <x:c r="K67" s="15" t="str"/>
      <x:c r="L67" s="15" t="str">
        <x:v>位置未特定</x:v>
      </x:c>
      <x:c r="M67" s="15" t="str"/>
      <x:c r="N67" s="15" t="str"/>
      <x:c r="O67" s="15" t="str">
        <x:v>なし</x:v>
      </x:c>
      <x:c r="P67" s="15" t="str"/>
      <x:c r="Q67" s="15" t="str"/>
      <x:c r="R67" s="15" t="str"/>
      <x:c r="S67" s="15" t="str"/>
      <x:c r="T67" s="15" t="str">
        <x:v>未確認</x:v>
      </x:c>
      <x:c r="U67" s="15" t="str">
        <x:v>要確認</x:v>
      </x:c>
      <x:c r="V67" s="15" t="str">
        <x:v>長野県R7-R11計画掲載。入口・代表点未特定。</x:v>
      </x:c>
      <x:c r="W67" s="15" t="str">
        <x:v>通行可否・ゲート・路面は現地未確認。</x:v>
      </x:c>
      <x:c r="X67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67" s="15" t="str"/>
      <x:c r="Z67" s="15" t="str">
        <x:v>https://www.pref.nagano.lg.jp/ringyo/documents/sinkeikaku2025.pdf</x:v>
      </x:c>
      <x:c r="AA67" s="15" t="str">
        <x:v>2026-07-10</x:v>
      </x:c>
    </x:row>
    <x:row r="68">
      <x:c r="A68" s="15" t="str">
        <x:v>NGN-000067</x:v>
      </x:c>
      <x:c r="B68" s="15" t="str">
        <x:v>塩沢線</x:v>
      </x:c>
      <x:c r="C68" s="15" t="str">
        <x:v>木祖村・木曽町</x:v>
      </x:c>
      <x:c r="D68" s="15" t="str">
        <x:v>中信</x:v>
      </x:c>
      <x:c r="E68" s="15" t="str">
        <x:v>行政履歴確認済み</x:v>
      </x:c>
      <x:c r="F68" s="15" t="str">
        <x:v>D</x:v>
      </x:c>
      <x:c r="G68" s="15" t="str">
        <x:v>H22-H26／H27-H31／H27-H31第2回変更</x:v>
      </x:c>
      <x:c r="H68" s="15" t="str"/>
      <x:c r="I68" s="15" t="str"/>
      <x:c r="J68" s="15" t="str"/>
      <x:c r="K68" s="15" t="str"/>
      <x:c r="L68" s="15" t="str">
        <x:v>位置未特定</x:v>
      </x:c>
      <x:c r="M68" s="15" t="str"/>
      <x:c r="N68" s="15" t="str"/>
      <x:c r="O68" s="15" t="str">
        <x:v>なし</x:v>
      </x:c>
      <x:c r="P68" s="15" t="str"/>
      <x:c r="Q68" s="15" t="str"/>
      <x:c r="R68" s="15" t="str"/>
      <x:c r="S68" s="15" t="str"/>
      <x:c r="T68" s="15" t="str">
        <x:v>未確認</x:v>
      </x:c>
      <x:c r="U68" s="15" t="str">
        <x:v>要確認</x:v>
      </x:c>
      <x:c r="V68" s="15" t="str">
        <x:v>入口・代表点未特定。</x:v>
      </x:c>
      <x:c r="W68" s="15" t="str">
        <x:v>通行可否・ゲート・路面は現地未確認。同名路線が複数市町村に存在する可能性あり。</x:v>
      </x:c>
      <x:c r="X68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68" s="15" t="str"/>
      <x:c r="Z68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68" s="15" t="str">
        <x:v>2026-07-10</x:v>
      </x:c>
    </x:row>
    <x:row r="69">
      <x:c r="A69" s="15" t="str">
        <x:v>NGN-000068</x:v>
      </x:c>
      <x:c r="B69" s="15" t="str">
        <x:v>栗の木線</x:v>
      </x:c>
      <x:c r="C69" s="15" t="str">
        <x:v>松本市</x:v>
      </x:c>
      <x:c r="D69" s="15" t="str">
        <x:v>中信</x:v>
      </x:c>
      <x:c r="E69" s="15" t="str">
        <x:v>行政履歴確認済み</x:v>
      </x:c>
      <x:c r="F69" s="15" t="str">
        <x:v>D</x:v>
      </x:c>
      <x:c r="G69" s="15" t="str">
        <x:v>H27-H31／H27-H31第2回変更</x:v>
      </x:c>
      <x:c r="H69" s="15" t="str"/>
      <x:c r="I69" s="15" t="str"/>
      <x:c r="J69" s="15" t="str"/>
      <x:c r="K69" s="15" t="str"/>
      <x:c r="L69" s="15" t="str">
        <x:v>位置未特定</x:v>
      </x:c>
      <x:c r="M69" s="15" t="str"/>
      <x:c r="N69" s="15" t="str"/>
      <x:c r="O69" s="15" t="str">
        <x:v>なし</x:v>
      </x:c>
      <x:c r="P69" s="15" t="str"/>
      <x:c r="Q69" s="15" t="str"/>
      <x:c r="R69" s="15" t="str"/>
      <x:c r="S69" s="15" t="str"/>
      <x:c r="T69" s="15" t="str">
        <x:v>未確認</x:v>
      </x:c>
      <x:c r="U69" s="15" t="str">
        <x:v>要確認</x:v>
      </x:c>
      <x:c r="V69" s="15" t="str">
        <x:v>入口・代表点未特定。</x:v>
      </x:c>
      <x:c r="W69" s="15" t="str">
        <x:v>通行可否・ゲート・路面は現地未確認。</x:v>
      </x:c>
      <x:c r="X69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Y69" s="15" t="str"/>
      <x:c r="Z69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AA69" s="15" t="str">
        <x:v>2026-07-10</x:v>
      </x:c>
    </x:row>
    <x:row r="70">
      <x:c r="A70" s="15" t="str">
        <x:v>NGN-000069</x:v>
      </x:c>
      <x:c r="B70" s="15" t="str">
        <x:v>高遠線</x:v>
      </x:c>
      <x:c r="C70" s="15" t="str">
        <x:v>松本市</x:v>
      </x:c>
      <x:c r="D70" s="15" t="str">
        <x:v>中信</x:v>
      </x:c>
      <x:c r="E70" s="15" t="str">
        <x:v>行政履歴確認済み</x:v>
      </x:c>
      <x:c r="F70" s="15" t="str">
        <x:v>D</x:v>
      </x:c>
      <x:c r="G70" s="15" t="str">
        <x:v>H27-H31／H27-H31第2回変更</x:v>
      </x:c>
      <x:c r="H70" s="15" t="str"/>
      <x:c r="I70" s="15" t="str"/>
      <x:c r="J70" s="15" t="str"/>
      <x:c r="K70" s="15" t="str"/>
      <x:c r="L70" s="15" t="str">
        <x:v>位置未特定</x:v>
      </x:c>
      <x:c r="M70" s="15" t="str"/>
      <x:c r="N70" s="15" t="str"/>
      <x:c r="O70" s="15" t="str">
        <x:v>なし</x:v>
      </x:c>
      <x:c r="P70" s="15" t="str"/>
      <x:c r="Q70" s="15" t="str"/>
      <x:c r="R70" s="15" t="str"/>
      <x:c r="S70" s="15" t="str"/>
      <x:c r="T70" s="15" t="str">
        <x:v>未確認</x:v>
      </x:c>
      <x:c r="U70" s="15" t="str">
        <x:v>要確認</x:v>
      </x:c>
      <x:c r="V70" s="15" t="str">
        <x:v>入口・代表点未特定。</x:v>
      </x:c>
      <x:c r="W70" s="15" t="str">
        <x:v>通行可否・ゲート・路面は現地未確認。</x:v>
      </x:c>
      <x:c r="X70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Y70" s="15" t="str"/>
      <x:c r="Z70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AA70" s="15" t="str">
        <x:v>2026-07-10</x:v>
      </x:c>
    </x:row>
    <x:row r="71">
      <x:c r="A71" s="15" t="str">
        <x:v>NGN-000070</x:v>
      </x:c>
      <x:c r="B71" s="15" t="str">
        <x:v>湯ノ原線</x:v>
      </x:c>
      <x:c r="C71" s="15" t="str">
        <x:v>松本市</x:v>
      </x:c>
      <x:c r="D71" s="15" t="str">
        <x:v>中信</x:v>
      </x:c>
      <x:c r="E71" s="15" t="str">
        <x:v>行政履歴確認済み</x:v>
      </x:c>
      <x:c r="F71" s="15" t="str">
        <x:v>D</x:v>
      </x:c>
      <x:c r="G71" s="15" t="str">
        <x:v>H22-H26／H27-H31／H27-H31第2回変更</x:v>
      </x:c>
      <x:c r="H71" s="15" t="str"/>
      <x:c r="I71" s="15" t="str"/>
      <x:c r="J71" s="15" t="str"/>
      <x:c r="K71" s="15" t="str"/>
      <x:c r="L71" s="15" t="str">
        <x:v>位置未特定</x:v>
      </x:c>
      <x:c r="M71" s="15" t="str"/>
      <x:c r="N71" s="15" t="str"/>
      <x:c r="O71" s="15" t="str">
        <x:v>なし</x:v>
      </x:c>
      <x:c r="P71" s="15" t="str"/>
      <x:c r="Q71" s="15" t="str"/>
      <x:c r="R71" s="15" t="str"/>
      <x:c r="S71" s="15" t="str"/>
      <x:c r="T71" s="15" t="str">
        <x:v>未確認</x:v>
      </x:c>
      <x:c r="U71" s="15" t="str">
        <x:v>要確認</x:v>
      </x:c>
      <x:c r="V71" s="15" t="str">
        <x:v>入口・代表点未特定。</x:v>
      </x:c>
      <x:c r="W71" s="15" t="str">
        <x:v>通行可否・ゲート・路面は現地未確認。</x:v>
      </x:c>
      <x:c r="X71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71" s="15" t="str"/>
      <x:c r="Z71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71" s="15" t="str">
        <x:v>2026-07-10</x:v>
      </x:c>
    </x:row>
    <x:row r="72">
      <x:c r="A72" s="15" t="str">
        <x:v>NGN-000071</x:v>
      </x:c>
      <x:c r="B72" s="15" t="str">
        <x:v>片丘南部線</x:v>
      </x:c>
      <x:c r="C72" s="15" t="str">
        <x:v>塩尻市</x:v>
      </x:c>
      <x:c r="D72" s="15" t="str">
        <x:v>中信</x:v>
      </x:c>
      <x:c r="E72" s="15" t="str">
        <x:v>行政履歴確認済み</x:v>
      </x:c>
      <x:c r="F72" s="15" t="str">
        <x:v>D</x:v>
      </x:c>
      <x:c r="G72" s="15" t="str">
        <x:v>H22-H26／H27-H31／H27-H31第2回変更</x:v>
      </x:c>
      <x:c r="H72" s="15" t="str"/>
      <x:c r="I72" s="15" t="str"/>
      <x:c r="J72" s="15" t="str"/>
      <x:c r="K72" s="15" t="str"/>
      <x:c r="L72" s="15" t="str">
        <x:v>位置未特定</x:v>
      </x:c>
      <x:c r="M72" s="15" t="str"/>
      <x:c r="N72" s="15" t="str"/>
      <x:c r="O72" s="15" t="str">
        <x:v>なし</x:v>
      </x:c>
      <x:c r="P72" s="15" t="str"/>
      <x:c r="Q72" s="15" t="str"/>
      <x:c r="R72" s="15" t="str"/>
      <x:c r="S72" s="15" t="str"/>
      <x:c r="T72" s="15" t="str">
        <x:v>未確認</x:v>
      </x:c>
      <x:c r="U72" s="15" t="str">
        <x:v>要確認</x:v>
      </x:c>
      <x:c r="V72" s="15" t="str">
        <x:v>入口・代表点未特定。</x:v>
      </x:c>
      <x:c r="W72" s="15" t="str">
        <x:v>通行可否・ゲート・路面は現地未確認。</x:v>
      </x:c>
      <x:c r="X72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72" s="15" t="str"/>
      <x:c r="Z72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72" s="15" t="str">
        <x:v>2026-07-10</x:v>
      </x:c>
    </x:row>
    <x:row r="73">
      <x:c r="A73" s="15" t="str">
        <x:v>NGN-000072</x:v>
      </x:c>
      <x:c r="B73" s="15" t="str">
        <x:v>雲根線</x:v>
      </x:c>
      <x:c r="C73" s="15" t="str">
        <x:v>生坂村</x:v>
      </x:c>
      <x:c r="D73" s="15" t="str">
        <x:v>中信</x:v>
      </x:c>
      <x:c r="E73" s="15" t="str">
        <x:v>行政履歴確認済み</x:v>
      </x:c>
      <x:c r="F73" s="15" t="str">
        <x:v>D</x:v>
      </x:c>
      <x:c r="G73" s="15" t="str">
        <x:v>H27-H31／H27-H31第2回変更</x:v>
      </x:c>
      <x:c r="H73" s="15" t="str"/>
      <x:c r="I73" s="15" t="str"/>
      <x:c r="J73" s="15" t="str"/>
      <x:c r="K73" s="15" t="str"/>
      <x:c r="L73" s="15" t="str">
        <x:v>位置未特定</x:v>
      </x:c>
      <x:c r="M73" s="15" t="str"/>
      <x:c r="N73" s="15" t="str"/>
      <x:c r="O73" s="15" t="str">
        <x:v>なし</x:v>
      </x:c>
      <x:c r="P73" s="15" t="str"/>
      <x:c r="Q73" s="15" t="str"/>
      <x:c r="R73" s="15" t="str"/>
      <x:c r="S73" s="15" t="str"/>
      <x:c r="T73" s="15" t="str">
        <x:v>未確認</x:v>
      </x:c>
      <x:c r="U73" s="15" t="str">
        <x:v>要確認</x:v>
      </x:c>
      <x:c r="V73" s="15" t="str">
        <x:v>入口・代表点未特定。</x:v>
      </x:c>
      <x:c r="W73" s="15" t="str">
        <x:v>通行可否・ゲート・路面は現地未確認。</x:v>
      </x:c>
      <x:c r="X73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Y73" s="15" t="str"/>
      <x:c r="Z73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AA73" s="15" t="str">
        <x:v>2026-07-10</x:v>
      </x:c>
    </x:row>
    <x:row r="74">
      <x:c r="A74" s="15" t="str">
        <x:v>NGN-000073</x:v>
      </x:c>
      <x:c r="B74" s="15" t="str">
        <x:v>中俣線</x:v>
      </x:c>
      <x:c r="C74" s="15" t="str">
        <x:v>朝日村</x:v>
      </x:c>
      <x:c r="D74" s="15" t="str">
        <x:v>中信</x:v>
      </x:c>
      <x:c r="E74" s="15" t="str">
        <x:v>行政履歴確認済み</x:v>
      </x:c>
      <x:c r="F74" s="15" t="str">
        <x:v>D</x:v>
      </x:c>
      <x:c r="G74" s="15" t="str">
        <x:v>H27-H31第2回変更</x:v>
      </x:c>
      <x:c r="H74" s="15" t="str"/>
      <x:c r="I74" s="15" t="str"/>
      <x:c r="J74" s="15" t="str"/>
      <x:c r="K74" s="15" t="str"/>
      <x:c r="L74" s="15" t="str">
        <x:v>位置未特定</x:v>
      </x:c>
      <x:c r="M74" s="15" t="str"/>
      <x:c r="N74" s="15" t="str"/>
      <x:c r="O74" s="15" t="str">
        <x:v>なし</x:v>
      </x:c>
      <x:c r="P74" s="15" t="str"/>
      <x:c r="Q74" s="15" t="str"/>
      <x:c r="R74" s="15" t="str"/>
      <x:c r="S74" s="15" t="str"/>
      <x:c r="T74" s="15" t="str">
        <x:v>未確認</x:v>
      </x:c>
      <x:c r="U74" s="15" t="str">
        <x:v>要確認</x:v>
      </x:c>
      <x:c r="V74" s="15" t="str">
        <x:v>入口・代表点未特定。</x:v>
      </x:c>
      <x:c r="W74" s="15" t="str">
        <x:v>通行可否・ゲート・路面は現地未確認。</x:v>
      </x:c>
      <x:c r="X74" s="15" t="str">
        <x:v>長野県「農山漁村地域整備計画 第2回変更（H27-H31）」 https://www.pref.nagano.lg.jp/ringyo/documents/henkou2.pdf</x:v>
      </x:c>
      <x:c r="Y74" s="15" t="str"/>
      <x:c r="Z74" s="15" t="str">
        <x:v>長野県「農山漁村地域整備計画 第2回変更（H27-H31）」 https://www.pref.nagano.lg.jp/ringyo/documents/henkou2.pdf</x:v>
      </x:c>
      <x:c r="AA74" s="15" t="str">
        <x:v>2026-07-10</x:v>
      </x:c>
    </x:row>
    <x:row r="75">
      <x:c r="A75" s="15" t="str">
        <x:v>NGN-000074</x:v>
      </x:c>
      <x:c r="B75" s="15" t="str">
        <x:v>樫俣線</x:v>
      </x:c>
      <x:c r="C75" s="15" t="str">
        <x:v>朝日村</x:v>
      </x:c>
      <x:c r="D75" s="15" t="str">
        <x:v>中信</x:v>
      </x:c>
      <x:c r="E75" s="15" t="str">
        <x:v>位置追加調査</x:v>
      </x:c>
      <x:c r="F75" s="15" t="str">
        <x:v>C</x:v>
      </x:c>
      <x:c r="G75" s="15" t="str">
        <x:v>R7-R11</x:v>
      </x:c>
      <x:c r="H75" s="15" t="str">
        <x:v>林道改良事業</x:v>
      </x:c>
      <x:c r="I75" s="15" t="str">
        <x:v>林道改良事業（改良L=129ｍ）</x:v>
      </x:c>
      <x:c r="J75" s="15" t="str"/>
      <x:c r="K75" s="15" t="str"/>
      <x:c r="L75" s="15" t="str">
        <x:v>位置未特定</x:v>
      </x:c>
      <x:c r="M75" s="15" t="str"/>
      <x:c r="N75" s="15" t="str"/>
      <x:c r="O75" s="15" t="str">
        <x:v>なし</x:v>
      </x:c>
      <x:c r="P75" s="15" t="str"/>
      <x:c r="Q75" s="15" t="str"/>
      <x:c r="R75" s="15" t="str"/>
      <x:c r="S75" s="15" t="str"/>
      <x:c r="T75" s="15" t="str">
        <x:v>未確認</x:v>
      </x:c>
      <x:c r="U75" s="15" t="str">
        <x:v>要確認</x:v>
      </x:c>
      <x:c r="V75" s="15" t="str">
        <x:v>長野県R7-R11計画掲載。入口・代表点未特定。</x:v>
      </x:c>
      <x:c r="W75" s="15" t="str">
        <x:v>通行可否・ゲート・路面は現地未確認。</x:v>
      </x:c>
      <x:c r="X75" s="15" t="str">
        <x:v>長野県「農山漁村地域整備計画 第2回変更（H27-H31）」 https://www.pref.nagano.lg.jp/ringyo/documents/henkou2.pdf</x:v>
      </x:c>
      <x:c r="Y75" s="15" t="str"/>
      <x:c r="Z75" s="15" t="str">
        <x:v>https://www.pref.nagano.lg.jp/ringyo/documents/sinkeikaku2025.pdf</x:v>
      </x:c>
      <x:c r="AA75" s="15" t="str">
        <x:v>2026-07-10</x:v>
      </x:c>
    </x:row>
    <x:row r="76">
      <x:c r="A76" s="15" t="str">
        <x:v>NGN-000075</x:v>
      </x:c>
      <x:c r="B76" s="15" t="str">
        <x:v>宮坂線</x:v>
      </x:c>
      <x:c r="C76" s="15" t="str">
        <x:v>長野市</x:v>
      </x:c>
      <x:c r="D76" s="15" t="str">
        <x:v>北信</x:v>
      </x:c>
      <x:c r="E76" s="15" t="str">
        <x:v>行政履歴確認済み</x:v>
      </x:c>
      <x:c r="F76" s="15" t="str">
        <x:v>D</x:v>
      </x:c>
      <x:c r="G76" s="15" t="str">
        <x:v>H22-H26／H27-H31／H27-H31第2回変更</x:v>
      </x:c>
      <x:c r="H76" s="15" t="str"/>
      <x:c r="I76" s="15" t="str"/>
      <x:c r="J76" s="15" t="str"/>
      <x:c r="K76" s="15" t="str"/>
      <x:c r="L76" s="15" t="str">
        <x:v>位置未特定</x:v>
      </x:c>
      <x:c r="M76" s="15" t="str"/>
      <x:c r="N76" s="15" t="str"/>
      <x:c r="O76" s="15" t="str">
        <x:v>なし</x:v>
      </x:c>
      <x:c r="P76" s="15" t="str"/>
      <x:c r="Q76" s="15" t="str"/>
      <x:c r="R76" s="15" t="str"/>
      <x:c r="S76" s="15" t="str"/>
      <x:c r="T76" s="15" t="str">
        <x:v>未確認</x:v>
      </x:c>
      <x:c r="U76" s="15" t="str">
        <x:v>要確認</x:v>
      </x:c>
      <x:c r="V76" s="15" t="str">
        <x:v>入口・代表点未特定。</x:v>
      </x:c>
      <x:c r="W76" s="15" t="str">
        <x:v>通行可否・ゲート・路面は現地未確認。</x:v>
      </x:c>
      <x:c r="X76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76" s="15" t="str"/>
      <x:c r="Z76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76" s="15" t="str">
        <x:v>2026-07-10</x:v>
      </x:c>
    </x:row>
    <x:row r="77">
      <x:c r="A77" s="15" t="str">
        <x:v>NGN-000076</x:v>
      </x:c>
      <x:c r="B77" s="15" t="str">
        <x:v>佐野山線</x:v>
      </x:c>
      <x:c r="C77" s="15" t="str">
        <x:v>千曲市</x:v>
      </x:c>
      <x:c r="D77" s="15" t="str">
        <x:v>北信</x:v>
      </x:c>
      <x:c r="E77" s="15" t="str">
        <x:v>行政履歴確認済み</x:v>
      </x:c>
      <x:c r="F77" s="15" t="str">
        <x:v>D</x:v>
      </x:c>
      <x:c r="G77" s="15" t="str">
        <x:v>H22-H26／H27-H31／H27-H31第2回変更</x:v>
      </x:c>
      <x:c r="H77" s="15" t="str"/>
      <x:c r="I77" s="15" t="str"/>
      <x:c r="J77" s="15" t="str"/>
      <x:c r="K77" s="15" t="str"/>
      <x:c r="L77" s="15" t="str">
        <x:v>位置未特定</x:v>
      </x:c>
      <x:c r="M77" s="15" t="str"/>
      <x:c r="N77" s="15" t="str"/>
      <x:c r="O77" s="15" t="str">
        <x:v>なし</x:v>
      </x:c>
      <x:c r="P77" s="15" t="str"/>
      <x:c r="Q77" s="15" t="str"/>
      <x:c r="R77" s="15" t="str"/>
      <x:c r="S77" s="15" t="str"/>
      <x:c r="T77" s="15" t="str">
        <x:v>未確認</x:v>
      </x:c>
      <x:c r="U77" s="15" t="str">
        <x:v>要確認</x:v>
      </x:c>
      <x:c r="V77" s="15" t="str">
        <x:v>入口・代表点未特定。</x:v>
      </x:c>
      <x:c r="W77" s="15" t="str">
        <x:v>通行可否・ゲート・路面は現地未確認。</x:v>
      </x:c>
      <x:c r="X77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77" s="15" t="str"/>
      <x:c r="Z77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77" s="15" t="str">
        <x:v>2026-07-10</x:v>
      </x:c>
    </x:row>
    <x:row r="78">
      <x:c r="A78" s="15" t="str">
        <x:v>NGN-000077</x:v>
      </x:c>
      <x:c r="B78" s="15" t="str">
        <x:v>中原入線</x:v>
      </x:c>
      <x:c r="C78" s="15" t="str">
        <x:v>千曲市</x:v>
      </x:c>
      <x:c r="D78" s="15" t="str">
        <x:v>北信</x:v>
      </x:c>
      <x:c r="E78" s="15" t="str">
        <x:v>行政履歴確認済み</x:v>
      </x:c>
      <x:c r="F78" s="15" t="str">
        <x:v>D</x:v>
      </x:c>
      <x:c r="G78" s="15" t="str">
        <x:v>H22-H26／H27-H31／H27-H31第2回変更</x:v>
      </x:c>
      <x:c r="H78" s="15" t="str"/>
      <x:c r="I78" s="15" t="str"/>
      <x:c r="J78" s="15" t="str"/>
      <x:c r="K78" s="15" t="str"/>
      <x:c r="L78" s="15" t="str">
        <x:v>位置未特定</x:v>
      </x:c>
      <x:c r="M78" s="15" t="str"/>
      <x:c r="N78" s="15" t="str"/>
      <x:c r="O78" s="15" t="str">
        <x:v>なし</x:v>
      </x:c>
      <x:c r="P78" s="15" t="str"/>
      <x:c r="Q78" s="15" t="str"/>
      <x:c r="R78" s="15" t="str"/>
      <x:c r="S78" s="15" t="str"/>
      <x:c r="T78" s="15" t="str">
        <x:v>未確認</x:v>
      </x:c>
      <x:c r="U78" s="15" t="str">
        <x:v>要確認</x:v>
      </x:c>
      <x:c r="V78" s="15" t="str">
        <x:v>入口・代表点未特定。</x:v>
      </x:c>
      <x:c r="W78" s="15" t="str">
        <x:v>通行可否・ゲート・路面は現地未確認。</x:v>
      </x:c>
      <x:c r="X78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Y78" s="15" t="str"/>
      <x:c r="Z78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 | 長野県「農山漁村地域整備計画（H22-H26）」 https://www.pref.nagano.lg.jp/ringyo/documents/kyukeikaku.pdf</x:v>
      </x:c>
      <x:c r="AA78" s="15" t="str">
        <x:v>2026-07-10</x:v>
      </x:c>
    </x:row>
    <x:row r="79">
      <x:c r="A79" s="15" t="str">
        <x:v>NGN-000078</x:v>
      </x:c>
      <x:c r="B79" s="15" t="str">
        <x:v>一ノ沢線</x:v>
      </x:c>
      <x:c r="C79" s="15" t="str">
        <x:v>安曇野市</x:v>
      </x:c>
      <x:c r="D79" s="15" t="str">
        <x:v>中信</x:v>
      </x:c>
      <x:c r="E79" s="15" t="str">
        <x:v>行政履歴確認済み</x:v>
      </x:c>
      <x:c r="F79" s="15" t="str">
        <x:v>D</x:v>
      </x:c>
      <x:c r="G79" s="15" t="str">
        <x:v>H27-H31／H27-H31第2回変更</x:v>
      </x:c>
      <x:c r="H79" s="15" t="str"/>
      <x:c r="I79" s="15" t="str"/>
      <x:c r="J79" s="15" t="str"/>
      <x:c r="K79" s="15" t="str"/>
      <x:c r="L79" s="15" t="str">
        <x:v>位置未特定</x:v>
      </x:c>
      <x:c r="M79" s="15" t="str"/>
      <x:c r="N79" s="15" t="str"/>
      <x:c r="O79" s="15" t="str">
        <x:v>なし</x:v>
      </x:c>
      <x:c r="P79" s="15" t="str"/>
      <x:c r="Q79" s="15" t="str"/>
      <x:c r="R79" s="15" t="str"/>
      <x:c r="S79" s="15" t="str"/>
      <x:c r="T79" s="15" t="str">
        <x:v>未確認</x:v>
      </x:c>
      <x:c r="U79" s="15" t="str">
        <x:v>要確認</x:v>
      </x:c>
      <x:c r="V79" s="15" t="str">
        <x:v>入口・代表点未特定。</x:v>
      </x:c>
      <x:c r="W79" s="15" t="str">
        <x:v>通行可否・ゲート・路面は現地未確認。</x:v>
      </x:c>
      <x:c r="X79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Y79" s="15" t="str"/>
      <x:c r="Z79" s="15" t="str">
        <x:v>長野県「農山漁村地域整備計画 第2回変更（H27-H31）」 https://www.pref.nagano.lg.jp/ringyo/documents/henkou2.pdf | 長野県「農山漁村地域整備計画（H27-H31）」 https://www.pref.nagano.lg.jp/ringyo/documents/keikaku01.pdf</x:v>
      </x:c>
      <x:c r="AA79" s="15" t="str">
        <x:v>2026-07-10</x:v>
      </x:c>
    </x:row>
    <x:row r="80">
      <x:c r="A80" s="15" t="str">
        <x:v>NGN-000079</x:v>
      </x:c>
      <x:c r="B80" s="15" t="str">
        <x:v>虫川新野線</x:v>
      </x:c>
      <x:c r="C80" s="15" t="str">
        <x:v>天龍村</x:v>
      </x:c>
      <x:c r="D80" s="15" t="str">
        <x:v>南信</x:v>
      </x:c>
      <x:c r="E80" s="15" t="str">
        <x:v>行政履歴確認済み</x:v>
      </x:c>
      <x:c r="F80" s="15" t="str">
        <x:v>D</x:v>
      </x:c>
      <x:c r="G80" s="15" t="str">
        <x:v>H22-H26／H27-H31</x:v>
      </x:c>
      <x:c r="H80" s="15" t="str"/>
      <x:c r="I80" s="15" t="str"/>
      <x:c r="J80" s="15" t="str"/>
      <x:c r="K80" s="15" t="str"/>
      <x:c r="L80" s="15" t="str">
        <x:v>位置未特定</x:v>
      </x:c>
      <x:c r="M80" s="15" t="str"/>
      <x:c r="N80" s="15" t="str"/>
      <x:c r="O80" s="15" t="str">
        <x:v>なし</x:v>
      </x:c>
      <x:c r="P80" s="15" t="str"/>
      <x:c r="Q80" s="15" t="str"/>
      <x:c r="R80" s="15" t="str"/>
      <x:c r="S80" s="15" t="str"/>
      <x:c r="T80" s="15" t="str">
        <x:v>未確認</x:v>
      </x:c>
      <x:c r="U80" s="15" t="str">
        <x:v>要確認</x:v>
      </x:c>
      <x:c r="V80" s="15" t="str">
        <x:v>入口・代表点未特定。</x:v>
      </x:c>
      <x:c r="W80" s="15" t="str">
        <x:v>通行可否・ゲート・路面は現地未確認。</x:v>
      </x:c>
      <x:c r="X80" s="15" t="str">
        <x:v>長野県「農山漁村地域整備計画（H27-H31）」 https://www.pref.nagano.lg.jp/ringyo/documents/keikaku01.pdf | 長野県「農山漁村地域整備計画（H22-H26）」 https://www.pref.nagano.lg.jp/ringyo/documents/kyukeikaku.pdf</x:v>
      </x:c>
      <x:c r="Y80" s="15" t="str"/>
      <x:c r="Z80" s="15" t="str">
        <x:v>長野県「農山漁村地域整備計画（H27-H31）」 https://www.pref.nagano.lg.jp/ringyo/documents/keikaku01.pdf | 長野県「農山漁村地域整備計画（H22-H26）」 https://www.pref.nagano.lg.jp/ringyo/documents/kyukeikaku.pdf</x:v>
      </x:c>
      <x:c r="AA80" s="15" t="str">
        <x:v>2026-07-10</x:v>
      </x:c>
    </x:row>
    <x:row r="81">
      <x:c r="A81" s="15" t="str">
        <x:v>NGN-000080</x:v>
      </x:c>
      <x:c r="B81" s="15" t="str">
        <x:v>矢筈線</x:v>
      </x:c>
      <x:c r="C81" s="15" t="str">
        <x:v>飯田市</x:v>
      </x:c>
      <x:c r="D81" s="15" t="str">
        <x:v>南信</x:v>
      </x:c>
      <x:c r="E81" s="15" t="str">
        <x:v>行政履歴確認済み</x:v>
      </x:c>
      <x:c r="F81" s="15" t="str">
        <x:v>D</x:v>
      </x:c>
      <x:c r="G81" s="15" t="str">
        <x:v>H22-H26</x:v>
      </x:c>
      <x:c r="H81" s="15" t="str"/>
      <x:c r="I81" s="15" t="str"/>
      <x:c r="J81" s="15" t="str"/>
      <x:c r="K81" s="15" t="str"/>
      <x:c r="L81" s="15" t="str">
        <x:v>位置未特定</x:v>
      </x:c>
      <x:c r="M81" s="15" t="str"/>
      <x:c r="N81" s="15" t="str"/>
      <x:c r="O81" s="15" t="str">
        <x:v>なし</x:v>
      </x:c>
      <x:c r="P81" s="15" t="str"/>
      <x:c r="Q81" s="15" t="str"/>
      <x:c r="R81" s="15" t="str"/>
      <x:c r="S81" s="15" t="str"/>
      <x:c r="T81" s="15" t="str">
        <x:v>未確認</x:v>
      </x:c>
      <x:c r="U81" s="15" t="str">
        <x:v>要確認</x:v>
      </x:c>
      <x:c r="V81" s="15" t="str">
        <x:v>入口・代表点未特定。</x:v>
      </x:c>
      <x:c r="W81" s="15" t="str">
        <x:v>通行可否・ゲート・路面は現地未確認。</x:v>
      </x:c>
      <x:c r="X81" s="15" t="str">
        <x:v>長野県「農山漁村地域整備計画（H22-H26）」 https://www.pref.nagano.lg.jp/ringyo/documents/kyukeikaku.pdf</x:v>
      </x:c>
      <x:c r="Y81" s="15" t="str"/>
      <x:c r="Z81" s="15" t="str">
        <x:v>長野県「農山漁村地域整備計画（H22-H26）」 https://www.pref.nagano.lg.jp/ringyo/documents/kyukeikaku.pdf</x:v>
      </x:c>
      <x:c r="AA81" s="15" t="str">
        <x:v>2026-07-10</x:v>
      </x:c>
    </x:row>
    <x:row r="82">
      <x:c r="A82" s="15" t="str">
        <x:v>NGN-000081</x:v>
      </x:c>
      <x:c r="B82" s="15" t="str">
        <x:v>西部線</x:v>
      </x:c>
      <x:c r="C82" s="15" t="str">
        <x:v>辰野町</x:v>
      </x:c>
      <x:c r="D82" s="15" t="str">
        <x:v>南信</x:v>
      </x:c>
      <x:c r="E82" s="15" t="str">
        <x:v>行政履歴確認済み</x:v>
      </x:c>
      <x:c r="F82" s="15" t="str">
        <x:v>D</x:v>
      </x:c>
      <x:c r="G82" s="15" t="str">
        <x:v>H22-H26</x:v>
      </x:c>
      <x:c r="H82" s="15" t="str"/>
      <x:c r="I82" s="15" t="str"/>
      <x:c r="J82" s="15" t="str"/>
      <x:c r="K82" s="15" t="str"/>
      <x:c r="L82" s="15" t="str">
        <x:v>位置未特定</x:v>
      </x:c>
      <x:c r="M82" s="15" t="str"/>
      <x:c r="N82" s="15" t="str"/>
      <x:c r="O82" s="15" t="str">
        <x:v>なし</x:v>
      </x:c>
      <x:c r="P82" s="15" t="str"/>
      <x:c r="Q82" s="15" t="str"/>
      <x:c r="R82" s="15" t="str"/>
      <x:c r="S82" s="15" t="str"/>
      <x:c r="T82" s="15" t="str">
        <x:v>未確認</x:v>
      </x:c>
      <x:c r="U82" s="15" t="str">
        <x:v>要確認</x:v>
      </x:c>
      <x:c r="V82" s="15" t="str">
        <x:v>入口・代表点未特定。</x:v>
      </x:c>
      <x:c r="W82" s="15" t="str">
        <x:v>通行可否・ゲート・路面は現地未確認。</x:v>
      </x:c>
      <x:c r="X82" s="15" t="str">
        <x:v>長野県「農山漁村地域整備計画（H22-H26）」 https://www.pref.nagano.lg.jp/ringyo/documents/kyukeikaku.pdf</x:v>
      </x:c>
      <x:c r="Y82" s="15" t="str"/>
      <x:c r="Z82" s="15" t="str">
        <x:v>長野県「農山漁村地域整備計画（H22-H26）」 https://www.pref.nagano.lg.jp/ringyo/documents/kyukeikaku.pdf</x:v>
      </x:c>
      <x:c r="AA82" s="15" t="str">
        <x:v>2026-07-10</x:v>
      </x:c>
    </x:row>
    <x:row r="83">
      <x:c r="A83" s="15" t="str">
        <x:v>NGN-000082</x:v>
      </x:c>
      <x:c r="B83" s="15" t="str">
        <x:v>宮沢線</x:v>
      </x:c>
      <x:c r="C83" s="15" t="str">
        <x:v>安曇野市</x:v>
      </x:c>
      <x:c r="D83" s="15" t="str">
        <x:v>中信</x:v>
      </x:c>
      <x:c r="E83" s="15" t="str">
        <x:v>行政履歴確認済み</x:v>
      </x:c>
      <x:c r="F83" s="15" t="str">
        <x:v>D</x:v>
      </x:c>
      <x:c r="G83" s="15" t="str">
        <x:v>H22-H26</x:v>
      </x:c>
      <x:c r="H83" s="15" t="str"/>
      <x:c r="I83" s="15" t="str"/>
      <x:c r="J83" s="15" t="str"/>
      <x:c r="K83" s="15" t="str"/>
      <x:c r="L83" s="15" t="str">
        <x:v>位置未特定</x:v>
      </x:c>
      <x:c r="M83" s="15" t="str"/>
      <x:c r="N83" s="15" t="str"/>
      <x:c r="O83" s="15" t="str">
        <x:v>なし</x:v>
      </x:c>
      <x:c r="P83" s="15" t="str"/>
      <x:c r="Q83" s="15" t="str"/>
      <x:c r="R83" s="15" t="str"/>
      <x:c r="S83" s="15" t="str"/>
      <x:c r="T83" s="15" t="str">
        <x:v>未確認</x:v>
      </x:c>
      <x:c r="U83" s="15" t="str">
        <x:v>要確認</x:v>
      </x:c>
      <x:c r="V83" s="15" t="str">
        <x:v>入口・代表点未特定。</x:v>
      </x:c>
      <x:c r="W83" s="15" t="str">
        <x:v>通行可否・ゲート・路面は現地未確認。</x:v>
      </x:c>
      <x:c r="X83" s="15" t="str">
        <x:v>長野県「農山漁村地域整備計画（H22-H26）」 https://www.pref.nagano.lg.jp/ringyo/documents/kyukeikaku.pdf</x:v>
      </x:c>
      <x:c r="Y83" s="15" t="str"/>
      <x:c r="Z83" s="15" t="str">
        <x:v>長野県「農山漁村地域整備計画（H22-H26）」 https://www.pref.nagano.lg.jp/ringyo/documents/kyukeikaku.pdf</x:v>
      </x:c>
      <x:c r="AA83" s="15" t="str">
        <x:v>2026-07-10</x:v>
      </x:c>
    </x:row>
    <x:row r="84">
      <x:c r="A84" s="15" t="str">
        <x:v>NGN-000083</x:v>
      </x:c>
      <x:c r="B84" s="15" t="str">
        <x:v>白馬小谷東山線</x:v>
      </x:c>
      <x:c r="C84" s="15" t="str">
        <x:v>小谷村</x:v>
      </x:c>
      <x:c r="D84" s="15" t="str">
        <x:v>中信</x:v>
      </x:c>
      <x:c r="E84" s="15" t="str">
        <x:v>行政履歴確認済み</x:v>
      </x:c>
      <x:c r="F84" s="15" t="str">
        <x:v>D</x:v>
      </x:c>
      <x:c r="G84" s="15" t="str">
        <x:v>H22-H26</x:v>
      </x:c>
      <x:c r="H84" s="15" t="str"/>
      <x:c r="I84" s="15" t="str"/>
      <x:c r="J84" s="15" t="str"/>
      <x:c r="K84" s="15" t="str"/>
      <x:c r="L84" s="15" t="str">
        <x:v>位置未特定</x:v>
      </x:c>
      <x:c r="M84" s="15" t="str"/>
      <x:c r="N84" s="15" t="str"/>
      <x:c r="O84" s="15" t="str">
        <x:v>なし</x:v>
      </x:c>
      <x:c r="P84" s="15" t="str"/>
      <x:c r="Q84" s="15" t="str"/>
      <x:c r="R84" s="15" t="str"/>
      <x:c r="S84" s="15" t="str"/>
      <x:c r="T84" s="15" t="str">
        <x:v>未確認</x:v>
      </x:c>
      <x:c r="U84" s="15" t="str">
        <x:v>要確認</x:v>
      </x:c>
      <x:c r="V84" s="15" t="str">
        <x:v>入口・代表点未特定。</x:v>
      </x:c>
      <x:c r="W84" s="15" t="str">
        <x:v>通行可否・ゲート・路面は現地未確認。</x:v>
      </x:c>
      <x:c r="X84" s="15" t="str">
        <x:v>長野県「農山漁村地域整備計画（H22-H26）」 https://www.pref.nagano.lg.jp/ringyo/documents/kyukeikaku.pdf</x:v>
      </x:c>
      <x:c r="Y84" s="15" t="str"/>
      <x:c r="Z84" s="15" t="str">
        <x:v>長野県「農山漁村地域整備計画（H22-H26）」 https://www.pref.nagano.lg.jp/ringyo/documents/kyukeikaku.pdf</x:v>
      </x:c>
      <x:c r="AA84" s="15" t="str">
        <x:v>2026-07-10</x:v>
      </x:c>
    </x:row>
    <x:row r="85">
      <x:c r="A85" s="15" t="str">
        <x:v>NGN-000084</x:v>
      </x:c>
      <x:c r="B85" s="15" t="str">
        <x:v>小河内線</x:v>
      </x:c>
      <x:c r="C85" s="15" t="str">
        <x:v>中川村</x:v>
      </x:c>
      <x:c r="D85" s="15" t="str">
        <x:v>南信</x:v>
      </x:c>
      <x:c r="E85" s="15" t="str">
        <x:v>行政履歴確認済み</x:v>
      </x:c>
      <x:c r="F85" s="15" t="str">
        <x:v>D</x:v>
      </x:c>
      <x:c r="G85" s="15" t="str">
        <x:v>H22-H26</x:v>
      </x:c>
      <x:c r="H85" s="15" t="str"/>
      <x:c r="I85" s="15" t="str"/>
      <x:c r="J85" s="15" t="str"/>
      <x:c r="K85" s="15" t="str"/>
      <x:c r="L85" s="15" t="str">
        <x:v>位置未特定</x:v>
      </x:c>
      <x:c r="M85" s="15" t="str"/>
      <x:c r="N85" s="15" t="str"/>
      <x:c r="O85" s="15" t="str">
        <x:v>なし</x:v>
      </x:c>
      <x:c r="P85" s="15" t="str"/>
      <x:c r="Q85" s="15" t="str"/>
      <x:c r="R85" s="15" t="str"/>
      <x:c r="S85" s="15" t="str"/>
      <x:c r="T85" s="15" t="str">
        <x:v>未確認</x:v>
      </x:c>
      <x:c r="U85" s="15" t="str">
        <x:v>要確認</x:v>
      </x:c>
      <x:c r="V85" s="15" t="str">
        <x:v>入口・代表点未特定。</x:v>
      </x:c>
      <x:c r="W85" s="15" t="str">
        <x:v>通行可否・ゲート・路面は現地未確認。</x:v>
      </x:c>
      <x:c r="X85" s="15" t="str">
        <x:v>長野県「農山漁村地域整備計画（H22-H26）」 https://www.pref.nagano.lg.jp/ringyo/documents/kyukeikaku.pdf</x:v>
      </x:c>
      <x:c r="Y85" s="15" t="str"/>
      <x:c r="Z85" s="15" t="str">
        <x:v>長野県「農山漁村地域整備計画（H22-H26）」 https://www.pref.nagano.lg.jp/ringyo/documents/kyukeikaku.pdf</x:v>
      </x:c>
      <x:c r="AA85" s="15" t="str">
        <x:v>2026-07-10</x:v>
      </x:c>
    </x:row>
    <x:row r="86">
      <x:c r="A86" s="15" t="str">
        <x:v>NGN-000085</x:v>
      </x:c>
      <x:c r="B86" s="15" t="str">
        <x:v>大沢線</x:v>
      </x:c>
      <x:c r="C86" s="15" t="str">
        <x:v>木曽町</x:v>
      </x:c>
      <x:c r="D86" s="15" t="str">
        <x:v>中信</x:v>
      </x:c>
      <x:c r="E86" s="15" t="str">
        <x:v>位置追加調査</x:v>
      </x:c>
      <x:c r="F86" s="15" t="str">
        <x:v>C</x:v>
      </x:c>
      <x:c r="G86" s="15" t="str">
        <x:v>R7-R11</x:v>
      </x:c>
      <x:c r="H86" s="15" t="str">
        <x:v>林道点検診断・保全整備事業</x:v>
      </x:c>
      <x:c r="I86" s="15" t="str">
        <x:v>点検診断・保全整備（保全整備L=6m）</x:v>
      </x:c>
      <x:c r="J86" s="15" t="str"/>
      <x:c r="K86" s="15" t="str"/>
      <x:c r="L86" s="15" t="str">
        <x:v>位置未特定</x:v>
      </x:c>
      <x:c r="M86" s="15" t="str"/>
      <x:c r="N86" s="15" t="str"/>
      <x:c r="O86" s="15" t="str">
        <x:v>なし</x:v>
      </x:c>
      <x:c r="P86" s="15" t="str"/>
      <x:c r="Q86" s="15" t="str"/>
      <x:c r="R86" s="15" t="str"/>
      <x:c r="S86" s="15" t="str"/>
      <x:c r="T86" s="15" t="str">
        <x:v>未確認</x:v>
      </x:c>
      <x:c r="U86" s="15" t="str">
        <x:v>要確認</x:v>
      </x:c>
      <x:c r="V86" s="15" t="str">
        <x:v>長野県R7-R11計画掲載。入口・代表点未特定。</x:v>
      </x:c>
      <x:c r="W86" s="15" t="str">
        <x:v>通行可否・ゲート・路面は現地未確認。</x:v>
      </x:c>
      <x:c r="X86" s="15" t="str">
        <x:v>長野県「農山漁村地域整備計画（H22-H26）」 https://www.pref.nagano.lg.jp/ringyo/documents/kyukeikaku.pdf</x:v>
      </x:c>
      <x:c r="Y86" s="15" t="str"/>
      <x:c r="Z86" s="15" t="str">
        <x:v>https://www.pref.nagano.lg.jp/ringyo/documents/sinkeikaku2025.pdf</x:v>
      </x:c>
      <x:c r="AA86" s="15" t="str">
        <x:v>2026-07-10</x:v>
      </x:c>
    </x:row>
    <x:row r="87">
      <x:c r="A87" s="15" t="str">
        <x:v>NGN-000086</x:v>
      </x:c>
      <x:c r="B87" s="15" t="str">
        <x:v>横根山線</x:v>
      </x:c>
      <x:c r="C87" s="15" t="str">
        <x:v>飯島町</x:v>
      </x:c>
      <x:c r="D87" s="15" t="str">
        <x:v>南信</x:v>
      </x:c>
      <x:c r="E87" s="15" t="str">
        <x:v>位置追加調査</x:v>
      </x:c>
      <x:c r="F87" s="15" t="str">
        <x:v>C</x:v>
      </x:c>
      <x:c r="G87" s="15" t="str">
        <x:v>R7-R11</x:v>
      </x:c>
      <x:c r="H87" s="15" t="str">
        <x:v>林道改良事業</x:v>
      </x:c>
      <x:c r="I87" s="15" t="str">
        <x:v>林道改良事業（改良L=115ｍ）</x:v>
      </x:c>
      <x:c r="J87" s="15" t="str"/>
      <x:c r="K87" s="15" t="str"/>
      <x:c r="L87" s="15" t="str">
        <x:v>位置未特定</x:v>
      </x:c>
      <x:c r="M87" s="15" t="str"/>
      <x:c r="N87" s="15" t="str"/>
      <x:c r="O87" s="15" t="str">
        <x:v>なし</x:v>
      </x:c>
      <x:c r="P87" s="15" t="str"/>
      <x:c r="Q87" s="15" t="str"/>
      <x:c r="R87" s="15" t="str"/>
      <x:c r="S87" s="15" t="str"/>
      <x:c r="T87" s="15" t="str">
        <x:v>未確認</x:v>
      </x:c>
      <x:c r="U87" s="15" t="str">
        <x:v>要確認</x:v>
      </x:c>
      <x:c r="V87" s="15" t="str">
        <x:v>長野県R7-R11計画掲載。入口・代表点未特定。</x:v>
      </x:c>
      <x:c r="W87" s="15" t="str">
        <x:v>通行可否・ゲート・路面は現地未確認。</x:v>
      </x:c>
      <x:c r="X87" s="15" t="str">
        <x:v>長野県「農山漁村地域整備計画（H22-H26）」 https://www.pref.nagano.lg.jp/ringyo/documents/kyukeikaku.pdf</x:v>
      </x:c>
      <x:c r="Y87" s="15" t="str"/>
      <x:c r="Z87" s="15" t="str">
        <x:v>https://www.pref.nagano.lg.jp/ringyo/documents/sinkeikaku2025.pdf</x:v>
      </x:c>
      <x:c r="AA87" s="15" t="str">
        <x:v>2026-07-10</x:v>
      </x:c>
    </x:row>
    <x:row r="88">
      <x:c r="A88" s="15" t="str">
        <x:v>NGN-000087</x:v>
      </x:c>
      <x:c r="B88" s="15" t="str">
        <x:v>白坂砥石沢線</x:v>
      </x:c>
      <x:c r="C88" s="15" t="str">
        <x:v>筑北村</x:v>
      </x:c>
      <x:c r="D88" s="15" t="str">
        <x:v>中信</x:v>
      </x:c>
      <x:c r="E88" s="15" t="str">
        <x:v>行政履歴確認済み</x:v>
      </x:c>
      <x:c r="F88" s="15" t="str">
        <x:v>D</x:v>
      </x:c>
      <x:c r="G88" s="15" t="str">
        <x:v>H22-H26</x:v>
      </x:c>
      <x:c r="H88" s="15" t="str"/>
      <x:c r="I88" s="15" t="str"/>
      <x:c r="J88" s="15" t="str"/>
      <x:c r="K88" s="15" t="str"/>
      <x:c r="L88" s="15" t="str">
        <x:v>位置未特定</x:v>
      </x:c>
      <x:c r="M88" s="15" t="str"/>
      <x:c r="N88" s="15" t="str"/>
      <x:c r="O88" s="15" t="str">
        <x:v>なし</x:v>
      </x:c>
      <x:c r="P88" s="15" t="str"/>
      <x:c r="Q88" s="15" t="str"/>
      <x:c r="R88" s="15" t="str"/>
      <x:c r="S88" s="15" t="str"/>
      <x:c r="T88" s="15" t="str">
        <x:v>未確認</x:v>
      </x:c>
      <x:c r="U88" s="15" t="str">
        <x:v>要確認</x:v>
      </x:c>
      <x:c r="V88" s="15" t="str">
        <x:v>入口・代表点未特定。</x:v>
      </x:c>
      <x:c r="W88" s="15" t="str">
        <x:v>通行可否・ゲート・路面は現地未確認。</x:v>
      </x:c>
      <x:c r="X88" s="15" t="str">
        <x:v>長野県「農山漁村地域整備計画（H22-H26）」 https://www.pref.nagano.lg.jp/ringyo/documents/kyukeikaku.pdf</x:v>
      </x:c>
      <x:c r="Y88" s="15" t="str"/>
      <x:c r="Z88" s="15" t="str">
        <x:v>長野県「農山漁村地域整備計画（H22-H26）」 https://www.pref.nagano.lg.jp/ringyo/documents/kyukeikaku.pdf</x:v>
      </x:c>
      <x:c r="AA88" s="15" t="str">
        <x:v>2026-07-10</x:v>
      </x:c>
    </x:row>
    <x:row r="89">
      <x:c r="A89" s="15" t="str">
        <x:v>NGN-000088</x:v>
      </x:c>
      <x:c r="B89" s="15" t="str">
        <x:v>細野線</x:v>
      </x:c>
      <x:c r="C89" s="15" t="str">
        <x:v>白馬村</x:v>
      </x:c>
      <x:c r="D89" s="15" t="str">
        <x:v>中信</x:v>
      </x:c>
      <x:c r="E89" s="15" t="str">
        <x:v>行政履歴確認済み</x:v>
      </x:c>
      <x:c r="F89" s="15" t="str">
        <x:v>D</x:v>
      </x:c>
      <x:c r="G89" s="15" t="str">
        <x:v>H22-H26</x:v>
      </x:c>
      <x:c r="H89" s="15" t="str"/>
      <x:c r="I89" s="15" t="str"/>
      <x:c r="J89" s="15" t="str"/>
      <x:c r="K89" s="15" t="str"/>
      <x:c r="L89" s="15" t="str">
        <x:v>位置未特定</x:v>
      </x:c>
      <x:c r="M89" s="15" t="str"/>
      <x:c r="N89" s="15" t="str"/>
      <x:c r="O89" s="15" t="str">
        <x:v>なし</x:v>
      </x:c>
      <x:c r="P89" s="15" t="str"/>
      <x:c r="Q89" s="15" t="str"/>
      <x:c r="R89" s="15" t="str"/>
      <x:c r="S89" s="15" t="str"/>
      <x:c r="T89" s="15" t="str">
        <x:v>未確認</x:v>
      </x:c>
      <x:c r="U89" s="15" t="str">
        <x:v>要確認</x:v>
      </x:c>
      <x:c r="V89" s="15" t="str">
        <x:v>入口・代表点未特定。</x:v>
      </x:c>
      <x:c r="W89" s="15" t="str">
        <x:v>通行可否・ゲート・路面は現地未確認。</x:v>
      </x:c>
      <x:c r="X89" s="15" t="str">
        <x:v>長野県「農山漁村地域整備計画（H22-H26）」 https://www.pref.nagano.lg.jp/ringyo/documents/kyukeikaku.pdf</x:v>
      </x:c>
      <x:c r="Y89" s="15" t="str"/>
      <x:c r="Z89" s="15" t="str">
        <x:v>長野県「農山漁村地域整備計画（H22-H26）」 https://www.pref.nagano.lg.jp/ringyo/documents/kyukeikaku.pdf</x:v>
      </x:c>
      <x:c r="AA89" s="15" t="str">
        <x:v>2026-07-10</x:v>
      </x:c>
    </x:row>
    <x:row r="90">
      <x:c r="A90" s="15" t="str">
        <x:v>NGN-000089</x:v>
      </x:c>
      <x:c r="B90" s="15" t="str">
        <x:v>北野線</x:v>
      </x:c>
      <x:c r="C90" s="15" t="str">
        <x:v>長野県</x:v>
      </x:c>
      <x:c r="D90" s="15" t="str">
        <x:v>南信</x:v>
      </x:c>
      <x:c r="E90" s="15" t="str">
        <x:v>行政履歴確認済み</x:v>
      </x:c>
      <x:c r="F90" s="15" t="str">
        <x:v>D</x:v>
      </x:c>
      <x:c r="G90" s="15" t="str">
        <x:v>H22-H26</x:v>
      </x:c>
      <x:c r="H90" s="15" t="str"/>
      <x:c r="I90" s="15" t="str"/>
      <x:c r="J90" s="15" t="str"/>
      <x:c r="K90" s="15" t="str"/>
      <x:c r="L90" s="15" t="str">
        <x:v>位置未特定</x:v>
      </x:c>
      <x:c r="M90" s="15" t="str"/>
      <x:c r="N90" s="15" t="str"/>
      <x:c r="O90" s="15" t="str">
        <x:v>なし</x:v>
      </x:c>
      <x:c r="P90" s="15" t="str"/>
      <x:c r="Q90" s="15" t="str"/>
      <x:c r="R90" s="15" t="str"/>
      <x:c r="S90" s="15" t="str"/>
      <x:c r="T90" s="15" t="str">
        <x:v>未確認</x:v>
      </x:c>
      <x:c r="U90" s="15" t="str">
        <x:v>要確認</x:v>
      </x:c>
      <x:c r="V90" s="15" t="str">
        <x:v>入口・代表点未特定。</x:v>
      </x:c>
      <x:c r="W90" s="15" t="str">
        <x:v>通行可否・ゲート・路面は現地未確認。</x:v>
      </x:c>
      <x:c r="X90" s="15" t="str">
        <x:v>長野県「農山漁村地域整備計画（H22-H26）」 https://www.pref.nagano.lg.jp/ringyo/documents/kyukeikaku.pdf</x:v>
      </x:c>
      <x:c r="Y90" s="15" t="str"/>
      <x:c r="Z90" s="15" t="str">
        <x:v>長野県「農山漁村地域整備計画（H22-H26）」 https://www.pref.nagano.lg.jp/ringyo/documents/kyukeikaku.pdf</x:v>
      </x:c>
      <x:c r="AA90" s="15" t="str">
        <x:v>2026-07-10</x:v>
      </x:c>
    </x:row>
    <x:row r="91">
      <x:c r="A91" s="15" t="str">
        <x:v>NGN-000090</x:v>
      </x:c>
      <x:c r="B91" s="15" t="str">
        <x:v>大池線</x:v>
      </x:c>
      <x:c r="C91" s="15" t="str">
        <x:v>小谷村</x:v>
      </x:c>
      <x:c r="D91" s="15" t="str">
        <x:v>中信</x:v>
      </x:c>
      <x:c r="E91" s="15" t="str">
        <x:v>行政履歴確認済み</x:v>
      </x:c>
      <x:c r="F91" s="15" t="str">
        <x:v>D</x:v>
      </x:c>
      <x:c r="G91" s="15" t="str">
        <x:v>H22-H26</x:v>
      </x:c>
      <x:c r="H91" s="15" t="str"/>
      <x:c r="I91" s="15" t="str"/>
      <x:c r="J91" s="15" t="str"/>
      <x:c r="K91" s="15" t="str"/>
      <x:c r="L91" s="15" t="str">
        <x:v>位置未特定</x:v>
      </x:c>
      <x:c r="M91" s="15" t="str"/>
      <x:c r="N91" s="15" t="str"/>
      <x:c r="O91" s="15" t="str">
        <x:v>なし</x:v>
      </x:c>
      <x:c r="P91" s="15" t="str"/>
      <x:c r="Q91" s="15" t="str"/>
      <x:c r="R91" s="15" t="str"/>
      <x:c r="S91" s="15" t="str"/>
      <x:c r="T91" s="15" t="str">
        <x:v>未確認</x:v>
      </x:c>
      <x:c r="U91" s="15" t="str">
        <x:v>要確認</x:v>
      </x:c>
      <x:c r="V91" s="15" t="str">
        <x:v>入口・代表点未特定。</x:v>
      </x:c>
      <x:c r="W91" s="15" t="str">
        <x:v>通行可否・ゲート・路面は現地未確認。</x:v>
      </x:c>
      <x:c r="X91" s="15" t="str">
        <x:v>長野県「農山漁村地域整備計画（H22-H26）」 https://www.pref.nagano.lg.jp/ringyo/documents/kyukeikaku.pdf</x:v>
      </x:c>
      <x:c r="Y91" s="15" t="str"/>
      <x:c r="Z91" s="15" t="str">
        <x:v>長野県「農山漁村地域整備計画（H22-H26）」 https://www.pref.nagano.lg.jp/ringyo/documents/kyukeikaku.pdf</x:v>
      </x:c>
      <x:c r="AA91" s="15" t="str">
        <x:v>2026-07-10</x:v>
      </x:c>
    </x:row>
    <x:row r="92">
      <x:c r="A92" s="15" t="str">
        <x:v>NGN-000091</x:v>
      </x:c>
      <x:c r="B92" s="15" t="str">
        <x:v>伊藤線</x:v>
      </x:c>
      <x:c r="C92" s="15" t="str">
        <x:v>飯田市</x:v>
      </x:c>
      <x:c r="D92" s="15" t="str">
        <x:v>南信</x:v>
      </x:c>
      <x:c r="E92" s="15" t="str">
        <x:v>行政履歴確認済み</x:v>
      </x:c>
      <x:c r="F92" s="15" t="str">
        <x:v>D</x:v>
      </x:c>
      <x:c r="G92" s="15" t="str">
        <x:v>H22-H26</x:v>
      </x:c>
      <x:c r="H92" s="15" t="str"/>
      <x:c r="I92" s="15" t="str"/>
      <x:c r="J92" s="15" t="str"/>
      <x:c r="K92" s="15" t="str"/>
      <x:c r="L92" s="15" t="str">
        <x:v>位置未特定</x:v>
      </x:c>
      <x:c r="M92" s="15" t="str"/>
      <x:c r="N92" s="15" t="str"/>
      <x:c r="O92" s="15" t="str">
        <x:v>なし</x:v>
      </x:c>
      <x:c r="P92" s="15" t="str"/>
      <x:c r="Q92" s="15" t="str"/>
      <x:c r="R92" s="15" t="str"/>
      <x:c r="S92" s="15" t="str"/>
      <x:c r="T92" s="15" t="str">
        <x:v>未確認</x:v>
      </x:c>
      <x:c r="U92" s="15" t="str">
        <x:v>要確認</x:v>
      </x:c>
      <x:c r="V92" s="15" t="str">
        <x:v>入口・代表点未特定。</x:v>
      </x:c>
      <x:c r="W92" s="15" t="str">
        <x:v>通行可否・ゲート・路面は現地未確認。</x:v>
      </x:c>
      <x:c r="X92" s="15" t="str">
        <x:v>長野県「農山漁村地域整備計画（H22-H26）」 https://www.pref.nagano.lg.jp/ringyo/documents/kyukeikaku.pdf</x:v>
      </x:c>
      <x:c r="Y92" s="15" t="str"/>
      <x:c r="Z92" s="15" t="str">
        <x:v>長野県「農山漁村地域整備計画（H22-H26）」 https://www.pref.nagano.lg.jp/ringyo/documents/kyukeikaku.pdf</x:v>
      </x:c>
      <x:c r="AA92" s="15" t="str">
        <x:v>2026-07-10</x:v>
      </x:c>
    </x:row>
    <x:row r="93">
      <x:c r="A93" s="15" t="str">
        <x:v>NGN-000092</x:v>
      </x:c>
      <x:c r="B93" s="15" t="str">
        <x:v>黒牛折草峠線</x:v>
      </x:c>
      <x:c r="C93" s="15" t="str">
        <x:v>中川村</x:v>
      </x:c>
      <x:c r="D93" s="15" t="str">
        <x:v>南信</x:v>
      </x:c>
      <x:c r="E93" s="15" t="str">
        <x:v>行政履歴確認済み</x:v>
      </x:c>
      <x:c r="F93" s="15" t="str">
        <x:v>D</x:v>
      </x:c>
      <x:c r="G93" s="15" t="str">
        <x:v>H22-H26</x:v>
      </x:c>
      <x:c r="H93" s="15" t="str"/>
      <x:c r="I93" s="15" t="str"/>
      <x:c r="J93" s="15" t="str"/>
      <x:c r="K93" s="15" t="str"/>
      <x:c r="L93" s="15" t="str">
        <x:v>位置未特定</x:v>
      </x:c>
      <x:c r="M93" s="15" t="str"/>
      <x:c r="N93" s="15" t="str"/>
      <x:c r="O93" s="15" t="str">
        <x:v>なし</x:v>
      </x:c>
      <x:c r="P93" s="15" t="str"/>
      <x:c r="Q93" s="15" t="str"/>
      <x:c r="R93" s="15" t="str"/>
      <x:c r="S93" s="15" t="str"/>
      <x:c r="T93" s="15" t="str">
        <x:v>未確認</x:v>
      </x:c>
      <x:c r="U93" s="15" t="str">
        <x:v>要確認</x:v>
      </x:c>
      <x:c r="V93" s="15" t="str">
        <x:v>入口・代表点未特定。</x:v>
      </x:c>
      <x:c r="W93" s="15" t="str">
        <x:v>通行可否・ゲート・路面は現地未確認。</x:v>
      </x:c>
      <x:c r="X93" s="15" t="str">
        <x:v>長野県「農山漁村地域整備計画（H22-H26）」 https://www.pref.nagano.lg.jp/ringyo/documents/kyukeikaku.pdf</x:v>
      </x:c>
      <x:c r="Y93" s="15" t="str"/>
      <x:c r="Z93" s="15" t="str">
        <x:v>長野県「農山漁村地域整備計画（H22-H26）」 https://www.pref.nagano.lg.jp/ringyo/documents/kyukeikaku.pdf</x:v>
      </x:c>
      <x:c r="AA93" s="15" t="str">
        <x:v>2026-07-10</x:v>
      </x:c>
    </x:row>
    <x:row r="94">
      <x:c r="A94" s="15" t="str">
        <x:v>NGN-000093</x:v>
      </x:c>
      <x:c r="B94" s="15" t="str">
        <x:v>池の平大原線</x:v>
      </x:c>
      <x:c r="C94" s="15" t="str">
        <x:v>木祖村</x:v>
      </x:c>
      <x:c r="D94" s="15" t="str">
        <x:v>中信</x:v>
      </x:c>
      <x:c r="E94" s="15" t="str">
        <x:v>行政履歴確認済み</x:v>
      </x:c>
      <x:c r="F94" s="15" t="str">
        <x:v>D</x:v>
      </x:c>
      <x:c r="G94" s="15" t="str">
        <x:v>H22-H26</x:v>
      </x:c>
      <x:c r="H94" s="15" t="str"/>
      <x:c r="I94" s="15" t="str"/>
      <x:c r="J94" s="15" t="str"/>
      <x:c r="K94" s="15" t="str"/>
      <x:c r="L94" s="15" t="str">
        <x:v>位置未特定</x:v>
      </x:c>
      <x:c r="M94" s="15" t="str"/>
      <x:c r="N94" s="15" t="str"/>
      <x:c r="O94" s="15" t="str">
        <x:v>なし</x:v>
      </x:c>
      <x:c r="P94" s="15" t="str"/>
      <x:c r="Q94" s="15" t="str"/>
      <x:c r="R94" s="15" t="str"/>
      <x:c r="S94" s="15" t="str"/>
      <x:c r="T94" s="15" t="str">
        <x:v>未確認</x:v>
      </x:c>
      <x:c r="U94" s="15" t="str">
        <x:v>要確認</x:v>
      </x:c>
      <x:c r="V94" s="15" t="str">
        <x:v>入口・代表点未特定。</x:v>
      </x:c>
      <x:c r="W94" s="15" t="str">
        <x:v>通行可否・ゲート・路面は現地未確認。</x:v>
      </x:c>
      <x:c r="X94" s="15" t="str">
        <x:v>長野県「農山漁村地域整備計画（H22-H26）」 https://www.pref.nagano.lg.jp/ringyo/documents/kyukeikaku.pdf</x:v>
      </x:c>
      <x:c r="Y94" s="15" t="str"/>
      <x:c r="Z94" s="15" t="str">
        <x:v>長野県「農山漁村地域整備計画（H22-H26）」 https://www.pref.nagano.lg.jp/ringyo/documents/kyukeikaku.pdf</x:v>
      </x:c>
      <x:c r="AA94" s="15" t="str">
        <x:v>2026-07-10</x:v>
      </x:c>
    </x:row>
    <x:row r="95">
      <x:c r="A95" s="15" t="str">
        <x:v>NGN-000094</x:v>
      </x:c>
      <x:c r="B95" s="15" t="str">
        <x:v>床並線</x:v>
      </x:c>
      <x:c r="C95" s="15" t="str">
        <x:v>木祖村</x:v>
      </x:c>
      <x:c r="D95" s="15" t="str">
        <x:v>中信</x:v>
      </x:c>
      <x:c r="E95" s="15" t="str">
        <x:v>行政履歴確認済み</x:v>
      </x:c>
      <x:c r="F95" s="15" t="str">
        <x:v>D</x:v>
      </x:c>
      <x:c r="G95" s="15" t="str">
        <x:v>H22-H26</x:v>
      </x:c>
      <x:c r="H95" s="15" t="str"/>
      <x:c r="I95" s="15" t="str"/>
      <x:c r="J95" s="15" t="str"/>
      <x:c r="K95" s="15" t="str"/>
      <x:c r="L95" s="15" t="str">
        <x:v>位置未特定</x:v>
      </x:c>
      <x:c r="M95" s="15" t="str"/>
      <x:c r="N95" s="15" t="str"/>
      <x:c r="O95" s="15" t="str">
        <x:v>なし</x:v>
      </x:c>
      <x:c r="P95" s="15" t="str"/>
      <x:c r="Q95" s="15" t="str"/>
      <x:c r="R95" s="15" t="str"/>
      <x:c r="S95" s="15" t="str"/>
      <x:c r="T95" s="15" t="str">
        <x:v>未確認</x:v>
      </x:c>
      <x:c r="U95" s="15" t="str">
        <x:v>要確認</x:v>
      </x:c>
      <x:c r="V95" s="15" t="str">
        <x:v>入口・代表点未特定。</x:v>
      </x:c>
      <x:c r="W95" s="15" t="str">
        <x:v>通行可否・ゲート・路面は現地未確認。</x:v>
      </x:c>
      <x:c r="X95" s="15" t="str">
        <x:v>長野県「農山漁村地域整備計画（H22-H26）」 https://www.pref.nagano.lg.jp/ringyo/documents/kyukeikaku.pdf</x:v>
      </x:c>
      <x:c r="Y95" s="15" t="str"/>
      <x:c r="Z95" s="15" t="str">
        <x:v>長野県「農山漁村地域整備計画（H22-H26）」 https://www.pref.nagano.lg.jp/ringyo/documents/kyukeikaku.pdf</x:v>
      </x:c>
      <x:c r="AA95" s="15" t="str">
        <x:v>2026-07-10</x:v>
      </x:c>
    </x:row>
    <x:row r="96">
      <x:c r="A96" s="15" t="str">
        <x:v>NGN-000095</x:v>
      </x:c>
      <x:c r="B96" s="15" t="str">
        <x:v>東沢線</x:v>
      </x:c>
      <x:c r="C96" s="15" t="str">
        <x:v>飯田市</x:v>
      </x:c>
      <x:c r="D96" s="15" t="str">
        <x:v>南信</x:v>
      </x:c>
      <x:c r="E96" s="15" t="str">
        <x:v>舗装計画あり・優先度低</x:v>
      </x:c>
      <x:c r="F96" s="15" t="str">
        <x:v>C</x:v>
      </x:c>
      <x:c r="G96" s="15" t="str">
        <x:v>R7-R11</x:v>
      </x:c>
      <x:c r="H96" s="15" t="str">
        <x:v>林道改良事業</x:v>
      </x:c>
      <x:c r="I96" s="15" t="str">
        <x:v>林道改良事業（舗装L=1330ｍ） | 林道改良事業（改良L=12ｍ）</x:v>
      </x:c>
      <x:c r="J96" s="15" t="str"/>
      <x:c r="K96" s="15" t="str"/>
      <x:c r="L96" s="15" t="str">
        <x:v>位置未特定</x:v>
      </x:c>
      <x:c r="M96" s="15" t="str"/>
      <x:c r="N96" s="15" t="str"/>
      <x:c r="O96" s="15" t="str">
        <x:v>なし</x:v>
      </x:c>
      <x:c r="P96" s="15" t="str"/>
      <x:c r="Q96" s="15" t="str"/>
      <x:c r="R96" s="15" t="str"/>
      <x:c r="S96" s="15" t="str"/>
      <x:c r="T96" s="15" t="str">
        <x:v>未確認</x:v>
      </x:c>
      <x:c r="U96" s="15" t="str">
        <x:v>要確認</x:v>
      </x:c>
      <x:c r="V96" s="15" t="str">
        <x:v>長野県R7-R11計画掲載。舗装計画記載のため未舗装候補としては低優先。入口・代表点未特定。</x:v>
      </x:c>
      <x:c r="W96" s="15" t="str">
        <x:v>通行可否・ゲート・路面は現地未確認。同名OSM 1件は市町村不一致で除外。計画記載は施工完了や現況を保証しない。</x:v>
      </x:c>
      <x:c r="X96" s="15" t="str">
        <x:v>長野県「農山漁村地域整備計画（H22-H26）」 https://www.pref.nagano.lg.jp/ringyo/documents/kyukeikaku.pdf</x:v>
      </x:c>
      <x:c r="Y96" s="15" t="str"/>
      <x:c r="Z96" s="15" t="str">
        <x:v>https://www.pref.nagano.lg.jp/ringyo/documents/sinkeikaku2025.pdf</x:v>
      </x:c>
      <x:c r="AA96" s="15" t="str">
        <x:v>2026-07-10</x:v>
      </x:c>
    </x:row>
    <x:row r="97">
      <x:c r="A97" s="15" t="str">
        <x:v>NGN-000096</x:v>
      </x:c>
      <x:c r="B97" s="15" t="str">
        <x:v>高町線</x:v>
      </x:c>
      <x:c r="C97" s="15" t="str">
        <x:v>飯田市</x:v>
      </x:c>
      <x:c r="D97" s="15" t="str">
        <x:v>南信</x:v>
      </x:c>
      <x:c r="E97" s="15" t="str">
        <x:v>行政履歴確認済み</x:v>
      </x:c>
      <x:c r="F97" s="15" t="str">
        <x:v>D</x:v>
      </x:c>
      <x:c r="G97" s="15" t="str">
        <x:v>H22-H26</x:v>
      </x:c>
      <x:c r="H97" s="15" t="str"/>
      <x:c r="I97" s="15" t="str"/>
      <x:c r="J97" s="15" t="str"/>
      <x:c r="K97" s="15" t="str"/>
      <x:c r="L97" s="15" t="str">
        <x:v>位置未特定</x:v>
      </x:c>
      <x:c r="M97" s="15" t="str"/>
      <x:c r="N97" s="15" t="str"/>
      <x:c r="O97" s="15" t="str">
        <x:v>なし</x:v>
      </x:c>
      <x:c r="P97" s="15" t="str"/>
      <x:c r="Q97" s="15" t="str"/>
      <x:c r="R97" s="15" t="str"/>
      <x:c r="S97" s="15" t="str"/>
      <x:c r="T97" s="15" t="str">
        <x:v>未確認</x:v>
      </x:c>
      <x:c r="U97" s="15" t="str">
        <x:v>要確認</x:v>
      </x:c>
      <x:c r="V97" s="15" t="str">
        <x:v>入口・代表点未特定。</x:v>
      </x:c>
      <x:c r="W97" s="15" t="str">
        <x:v>通行可否・ゲート・路面は現地未確認。</x:v>
      </x:c>
      <x:c r="X97" s="15" t="str">
        <x:v>長野県「農山漁村地域整備計画（H22-H26）」 https://www.pref.nagano.lg.jp/ringyo/documents/kyukeikaku.pdf</x:v>
      </x:c>
      <x:c r="Y97" s="15" t="str"/>
      <x:c r="Z97" s="15" t="str">
        <x:v>長野県「農山漁村地域整備計画（H22-H26）」 https://www.pref.nagano.lg.jp/ringyo/documents/kyukeikaku.pdf</x:v>
      </x:c>
      <x:c r="AA97" s="15" t="str">
        <x:v>2026-07-10</x:v>
      </x:c>
    </x:row>
    <x:row r="98">
      <x:c r="A98" s="15" t="str">
        <x:v>NGN-000097</x:v>
      </x:c>
      <x:c r="B98" s="15" t="str">
        <x:v>早稲田木曽畑線</x:v>
      </x:c>
      <x:c r="C98" s="15" t="str">
        <x:v>阿南町</x:v>
      </x:c>
      <x:c r="D98" s="15" t="str">
        <x:v>南信</x:v>
      </x:c>
      <x:c r="E98" s="15" t="str">
        <x:v>行政履歴確認済み</x:v>
      </x:c>
      <x:c r="F98" s="15" t="str">
        <x:v>D</x:v>
      </x:c>
      <x:c r="G98" s="15" t="str">
        <x:v>H22-H26</x:v>
      </x:c>
      <x:c r="H98" s="15" t="str"/>
      <x:c r="I98" s="15" t="str"/>
      <x:c r="J98" s="15" t="str"/>
      <x:c r="K98" s="15" t="str"/>
      <x:c r="L98" s="15" t="str">
        <x:v>位置未特定</x:v>
      </x:c>
      <x:c r="M98" s="15" t="str"/>
      <x:c r="N98" s="15" t="str"/>
      <x:c r="O98" s="15" t="str">
        <x:v>なし</x:v>
      </x:c>
      <x:c r="P98" s="15" t="str"/>
      <x:c r="Q98" s="15" t="str"/>
      <x:c r="R98" s="15" t="str"/>
      <x:c r="S98" s="15" t="str"/>
      <x:c r="T98" s="15" t="str">
        <x:v>未確認</x:v>
      </x:c>
      <x:c r="U98" s="15" t="str">
        <x:v>要確認</x:v>
      </x:c>
      <x:c r="V98" s="15" t="str">
        <x:v>入口・代表点未特定。</x:v>
      </x:c>
      <x:c r="W98" s="15" t="str">
        <x:v>通行可否・ゲート・路面は現地未確認。</x:v>
      </x:c>
      <x:c r="X98" s="15" t="str">
        <x:v>長野県「農山漁村地域整備計画（H22-H26）」 https://www.pref.nagano.lg.jp/ringyo/documents/kyukeikaku.pdf</x:v>
      </x:c>
      <x:c r="Y98" s="15" t="str"/>
      <x:c r="Z98" s="15" t="str">
        <x:v>長野県「農山漁村地域整備計画（H22-H26）」 https://www.pref.nagano.lg.jp/ringyo/documents/kyukeikaku.pdf</x:v>
      </x:c>
      <x:c r="AA98" s="15" t="str">
        <x:v>2026-07-10</x:v>
      </x:c>
    </x:row>
    <x:row r="99">
      <x:c r="A99" s="15" t="str">
        <x:v>NGN-000098</x:v>
      </x:c>
      <x:c r="B99" s="15" t="str">
        <x:v>虻川線</x:v>
      </x:c>
      <x:c r="C99" s="15" t="str">
        <x:v>豊丘村</x:v>
      </x:c>
      <x:c r="D99" s="15" t="str">
        <x:v>南信</x:v>
      </x:c>
      <x:c r="E99" s="15" t="str">
        <x:v>行政履歴確認済み</x:v>
      </x:c>
      <x:c r="F99" s="15" t="str">
        <x:v>D</x:v>
      </x:c>
      <x:c r="G99" s="15" t="str">
        <x:v>H22-H26</x:v>
      </x:c>
      <x:c r="H99" s="15" t="str"/>
      <x:c r="I99" s="15" t="str"/>
      <x:c r="J99" s="15" t="str"/>
      <x:c r="K99" s="15" t="str"/>
      <x:c r="L99" s="15" t="str">
        <x:v>位置未特定</x:v>
      </x:c>
      <x:c r="M99" s="15" t="str"/>
      <x:c r="N99" s="15" t="str"/>
      <x:c r="O99" s="15" t="str">
        <x:v>なし</x:v>
      </x:c>
      <x:c r="P99" s="15" t="str"/>
      <x:c r="Q99" s="15" t="str"/>
      <x:c r="R99" s="15" t="str"/>
      <x:c r="S99" s="15" t="str"/>
      <x:c r="T99" s="15" t="str">
        <x:v>未確認</x:v>
      </x:c>
      <x:c r="U99" s="15" t="str">
        <x:v>要確認</x:v>
      </x:c>
      <x:c r="V99" s="15" t="str">
        <x:v>入口・代表点未特定。</x:v>
      </x:c>
      <x:c r="W99" s="15" t="str">
        <x:v>通行可否・ゲート・路面は現地未確認。</x:v>
      </x:c>
      <x:c r="X99" s="15" t="str">
        <x:v>長野県「農山漁村地域整備計画（H22-H26）」 https://www.pref.nagano.lg.jp/ringyo/documents/kyukeikaku.pdf</x:v>
      </x:c>
      <x:c r="Y99" s="15" t="str"/>
      <x:c r="Z99" s="15" t="str">
        <x:v>長野県「農山漁村地域整備計画（H22-H26）」 https://www.pref.nagano.lg.jp/ringyo/documents/kyukeikaku.pdf</x:v>
      </x:c>
      <x:c r="AA99" s="15" t="str">
        <x:v>2026-07-10</x:v>
      </x:c>
    </x:row>
    <x:row r="100">
      <x:c r="A100" s="15" t="str">
        <x:v>NGN-000099</x:v>
      </x:c>
      <x:c r="B100" s="15" t="str">
        <x:v>黒川線</x:v>
      </x:c>
      <x:c r="C100" s="15" t="str">
        <x:v>小谷村・松本市</x:v>
      </x:c>
      <x:c r="D100" s="15" t="str">
        <x:v>中信</x:v>
      </x:c>
      <x:c r="E100" s="15" t="str">
        <x:v>行政履歴確認済み</x:v>
      </x:c>
      <x:c r="F100" s="15" t="str">
        <x:v>D</x:v>
      </x:c>
      <x:c r="G100" s="15" t="str">
        <x:v>H22-H26</x:v>
      </x:c>
      <x:c r="H100" s="15" t="str"/>
      <x:c r="I100" s="15" t="str"/>
      <x:c r="J100" s="15" t="str"/>
      <x:c r="K100" s="15" t="str"/>
      <x:c r="L100" s="15" t="str">
        <x:v>位置未特定</x:v>
      </x:c>
      <x:c r="M100" s="15" t="str"/>
      <x:c r="N100" s="15" t="str"/>
      <x:c r="O100" s="15" t="str">
        <x:v>なし</x:v>
      </x:c>
      <x:c r="P100" s="15" t="str"/>
      <x:c r="Q100" s="15" t="str"/>
      <x:c r="R100" s="15" t="str"/>
      <x:c r="S100" s="15" t="str"/>
      <x:c r="T100" s="15" t="str">
        <x:v>未確認</x:v>
      </x:c>
      <x:c r="U100" s="15" t="str">
        <x:v>要確認</x:v>
      </x:c>
      <x:c r="V100" s="15" t="str">
        <x:v>入口・代表点未特定。</x:v>
      </x:c>
      <x:c r="W100" s="15" t="str">
        <x:v>通行可否・ゲート・路面は現地未確認。同名路線が複数市町村に存在する可能性あり。</x:v>
      </x:c>
      <x:c r="X100" s="15" t="str">
        <x:v>長野県「農山漁村地域整備計画（H22-H26）」 https://www.pref.nagano.lg.jp/ringyo/documents/kyukeikaku.pdf</x:v>
      </x:c>
      <x:c r="Y100" s="15" t="str"/>
      <x:c r="Z100" s="15" t="str">
        <x:v>長野県「農山漁村地域整備計画（H22-H26）」 https://www.pref.nagano.lg.jp/ringyo/documents/kyukeikaku.pdf</x:v>
      </x:c>
      <x:c r="AA100" s="15" t="str">
        <x:v>2026-07-10</x:v>
      </x:c>
    </x:row>
    <x:row r="101">
      <x:c r="A101" s="15" t="str">
        <x:v>NGN-000100</x:v>
      </x:c>
      <x:c r="B101" s="15" t="str">
        <x:v>鉢盛山線</x:v>
      </x:c>
      <x:c r="C101" s="15" t="str">
        <x:v>朝日村</x:v>
      </x:c>
      <x:c r="D101" s="15" t="str">
        <x:v>中信</x:v>
      </x:c>
      <x:c r="E101" s="15" t="str">
        <x:v>行政履歴確認済み</x:v>
      </x:c>
      <x:c r="F101" s="15" t="str">
        <x:v>D</x:v>
      </x:c>
      <x:c r="G101" s="15" t="str">
        <x:v>H22-H26</x:v>
      </x:c>
      <x:c r="H101" s="15" t="str"/>
      <x:c r="I101" s="15" t="str"/>
      <x:c r="J101" s="15" t="str"/>
      <x:c r="K101" s="15" t="str"/>
      <x:c r="L101" s="15" t="str">
        <x:v>位置未特定</x:v>
      </x:c>
      <x:c r="M101" s="15" t="str"/>
      <x:c r="N101" s="15" t="str"/>
      <x:c r="O101" s="15" t="str">
        <x:v>なし</x:v>
      </x:c>
      <x:c r="P101" s="15" t="str"/>
      <x:c r="Q101" s="15" t="str"/>
      <x:c r="R101" s="15" t="str"/>
      <x:c r="S101" s="15" t="str"/>
      <x:c r="T101" s="15" t="str">
        <x:v>未確認</x:v>
      </x:c>
      <x:c r="U101" s="15" t="str">
        <x:v>要確認</x:v>
      </x:c>
      <x:c r="V101" s="15" t="str">
        <x:v>入口・代表点未特定。</x:v>
      </x:c>
      <x:c r="W101" s="15" t="str">
        <x:v>通行可否・ゲート・路面は現地未確認。</x:v>
      </x:c>
      <x:c r="X101" s="15" t="str">
        <x:v>長野県「農山漁村地域整備計画（H22-H26）」 https://www.pref.nagano.lg.jp/ringyo/documents/kyukeikaku.pdf</x:v>
      </x:c>
      <x:c r="Y101" s="15" t="str"/>
      <x:c r="Z101" s="15" t="str">
        <x:v>長野県「農山漁村地域整備計画（H22-H26）」 https://www.pref.nagano.lg.jp/ringyo/documents/kyukeikaku.pdf</x:v>
      </x:c>
      <x:c r="AA101" s="15" t="str">
        <x:v>2026-07-10</x:v>
      </x:c>
    </x:row>
    <x:row r="102">
      <x:c r="A102" s="15" t="str">
        <x:v>NGN-000101</x:v>
      </x:c>
      <x:c r="B102" s="15" t="str">
        <x:v>中日影線</x:v>
      </x:c>
      <x:c r="C102" s="15" t="str">
        <x:v>高山村</x:v>
      </x:c>
      <x:c r="D102" s="15" t="str">
        <x:v>北信</x:v>
      </x:c>
      <x:c r="E102" s="15" t="str">
        <x:v>行政履歴確認済み</x:v>
      </x:c>
      <x:c r="F102" s="15" t="str">
        <x:v>D</x:v>
      </x:c>
      <x:c r="G102" s="15" t="str">
        <x:v>H22-H26</x:v>
      </x:c>
      <x:c r="H102" s="15" t="str"/>
      <x:c r="I102" s="15" t="str"/>
      <x:c r="J102" s="15" t="str"/>
      <x:c r="K102" s="15" t="str"/>
      <x:c r="L102" s="15" t="str">
        <x:v>位置未特定</x:v>
      </x:c>
      <x:c r="M102" s="15" t="str"/>
      <x:c r="N102" s="15" t="str"/>
      <x:c r="O102" s="15" t="str">
        <x:v>なし</x:v>
      </x:c>
      <x:c r="P102" s="15" t="str"/>
      <x:c r="Q102" s="15" t="str"/>
      <x:c r="R102" s="15" t="str"/>
      <x:c r="S102" s="15" t="str"/>
      <x:c r="T102" s="15" t="str">
        <x:v>未確認</x:v>
      </x:c>
      <x:c r="U102" s="15" t="str">
        <x:v>要確認</x:v>
      </x:c>
      <x:c r="V102" s="15" t="str">
        <x:v>入口・代表点未特定。</x:v>
      </x:c>
      <x:c r="W102" s="15" t="str">
        <x:v>通行可否・ゲート・路面は現地未確認。</x:v>
      </x:c>
      <x:c r="X102" s="15" t="str">
        <x:v>長野県「農山漁村地域整備計画（H22-H26）」 https://www.pref.nagano.lg.jp/ringyo/documents/kyukeikaku.pdf</x:v>
      </x:c>
      <x:c r="Y102" s="15" t="str"/>
      <x:c r="Z102" s="15" t="str">
        <x:v>長野県「農山漁村地域整備計画（H22-H26）」 https://www.pref.nagano.lg.jp/ringyo/documents/kyukeikaku.pdf</x:v>
      </x:c>
      <x:c r="AA102" s="15" t="str">
        <x:v>2026-07-10</x:v>
      </x:c>
    </x:row>
    <x:row r="103">
      <x:c r="A103" s="15" t="str">
        <x:v>NGN-000102</x:v>
      </x:c>
      <x:c r="B103" s="15" t="str">
        <x:v>堂ヶ入線</x:v>
      </x:c>
      <x:c r="C103" s="15" t="str">
        <x:v>山形村</x:v>
      </x:c>
      <x:c r="D103" s="15" t="str">
        <x:v>中信</x:v>
      </x:c>
      <x:c r="E103" s="15" t="str">
        <x:v>行政履歴確認済み</x:v>
      </x:c>
      <x:c r="F103" s="15" t="str">
        <x:v>D</x:v>
      </x:c>
      <x:c r="G103" s="15" t="str">
        <x:v>H22-H26</x:v>
      </x:c>
      <x:c r="H103" s="15" t="str"/>
      <x:c r="I103" s="15" t="str"/>
      <x:c r="J103" s="15" t="str"/>
      <x:c r="K103" s="15" t="str"/>
      <x:c r="L103" s="15" t="str">
        <x:v>位置未特定</x:v>
      </x:c>
      <x:c r="M103" s="15" t="str"/>
      <x:c r="N103" s="15" t="str"/>
      <x:c r="O103" s="15" t="str">
        <x:v>なし</x:v>
      </x:c>
      <x:c r="P103" s="15" t="str"/>
      <x:c r="Q103" s="15" t="str"/>
      <x:c r="R103" s="15" t="str"/>
      <x:c r="S103" s="15" t="str"/>
      <x:c r="T103" s="15" t="str">
        <x:v>未確認</x:v>
      </x:c>
      <x:c r="U103" s="15" t="str">
        <x:v>要確認</x:v>
      </x:c>
      <x:c r="V103" s="15" t="str">
        <x:v>入口・代表点未特定。</x:v>
      </x:c>
      <x:c r="W103" s="15" t="str">
        <x:v>通行可否・ゲート・路面は現地未確認。</x:v>
      </x:c>
      <x:c r="X103" s="15" t="str">
        <x:v>長野県「農山漁村地域整備計画（H22-H26）」 https://www.pref.nagano.lg.jp/ringyo/documents/kyukeikaku.pdf</x:v>
      </x:c>
      <x:c r="Y103" s="15" t="str"/>
      <x:c r="Z103" s="15" t="str">
        <x:v>長野県「農山漁村地域整備計画（H22-H26）」 https://www.pref.nagano.lg.jp/ringyo/documents/kyukeikaku.pdf</x:v>
      </x:c>
      <x:c r="AA103" s="15" t="str">
        <x:v>2026-07-10</x:v>
      </x:c>
    </x:row>
    <x:row r="104">
      <x:c r="A104" s="15" t="str">
        <x:v>NGN-000103</x:v>
      </x:c>
      <x:c r="B104" s="15" t="str">
        <x:v>八久保峠線</x:v>
      </x:c>
      <x:c r="C104" s="15" t="str">
        <x:v>木曽町</x:v>
      </x:c>
      <x:c r="D104" s="15" t="str">
        <x:v>中信</x:v>
      </x:c>
      <x:c r="E104" s="15" t="str">
        <x:v>行政履歴確認済み</x:v>
      </x:c>
      <x:c r="F104" s="15" t="str">
        <x:v>D</x:v>
      </x:c>
      <x:c r="G104" s="15" t="str">
        <x:v>H22-H26</x:v>
      </x:c>
      <x:c r="H104" s="15" t="str"/>
      <x:c r="I104" s="15" t="str"/>
      <x:c r="J104" s="15" t="str"/>
      <x:c r="K104" s="15" t="str"/>
      <x:c r="L104" s="15" t="str">
        <x:v>位置未特定</x:v>
      </x:c>
      <x:c r="M104" s="15" t="str"/>
      <x:c r="N104" s="15" t="str"/>
      <x:c r="O104" s="15" t="str">
        <x:v>なし</x:v>
      </x:c>
      <x:c r="P104" s="15" t="str"/>
      <x:c r="Q104" s="15" t="str"/>
      <x:c r="R104" s="15" t="str"/>
      <x:c r="S104" s="15" t="str"/>
      <x:c r="T104" s="15" t="str">
        <x:v>未確認</x:v>
      </x:c>
      <x:c r="U104" s="15" t="str">
        <x:v>要確認</x:v>
      </x:c>
      <x:c r="V104" s="15" t="str">
        <x:v>入口・代表点未特定。</x:v>
      </x:c>
      <x:c r="W104" s="15" t="str">
        <x:v>通行可否・ゲート・路面は現地未確認。</x:v>
      </x:c>
      <x:c r="X104" s="15" t="str">
        <x:v>長野県「農山漁村地域整備計画（H22-H26）」 https://www.pref.nagano.lg.jp/ringyo/documents/kyukeikaku.pdf</x:v>
      </x:c>
      <x:c r="Y104" s="15" t="str"/>
      <x:c r="Z104" s="15" t="str">
        <x:v>長野県「農山漁村地域整備計画（H22-H26）」 https://www.pref.nagano.lg.jp/ringyo/documents/kyukeikaku.pdf</x:v>
      </x:c>
      <x:c r="AA104" s="15" t="str">
        <x:v>2026-07-10</x:v>
      </x:c>
    </x:row>
    <x:row r="105">
      <x:c r="A105" s="15" t="str">
        <x:v>NGN-000104</x:v>
      </x:c>
      <x:c r="B105" s="15" t="str">
        <x:v>妙高小谷線</x:v>
      </x:c>
      <x:c r="C105" s="15" t="str">
        <x:v>小谷村</x:v>
      </x:c>
      <x:c r="D105" s="15" t="str">
        <x:v>中信</x:v>
      </x:c>
      <x:c r="E105" s="15" t="str">
        <x:v>行政履歴確認済み</x:v>
      </x:c>
      <x:c r="F105" s="15" t="str">
        <x:v>D</x:v>
      </x:c>
      <x:c r="G105" s="15" t="str">
        <x:v>H22-H26</x:v>
      </x:c>
      <x:c r="H105" s="15" t="str"/>
      <x:c r="I105" s="15" t="str"/>
      <x:c r="J105" s="15" t="str"/>
      <x:c r="K105" s="15" t="str"/>
      <x:c r="L105" s="15" t="str">
        <x:v>位置未特定</x:v>
      </x:c>
      <x:c r="M105" s="15" t="str"/>
      <x:c r="N105" s="15" t="str"/>
      <x:c r="O105" s="15" t="str">
        <x:v>なし</x:v>
      </x:c>
      <x:c r="P105" s="15" t="str"/>
      <x:c r="Q105" s="15" t="str"/>
      <x:c r="R105" s="15" t="str"/>
      <x:c r="S105" s="15" t="str"/>
      <x:c r="T105" s="15" t="str">
        <x:v>未確認</x:v>
      </x:c>
      <x:c r="U105" s="15" t="str">
        <x:v>要確認</x:v>
      </x:c>
      <x:c r="V105" s="15" t="str">
        <x:v>入口・代表点未特定。</x:v>
      </x:c>
      <x:c r="W105" s="15" t="str">
        <x:v>通行可否・ゲート・路面は現地未確認。</x:v>
      </x:c>
      <x:c r="X105" s="15" t="str">
        <x:v>長野県「農山漁村地域整備計画（H22-H26）」 https://www.pref.nagano.lg.jp/ringyo/documents/kyukeikaku.pdf</x:v>
      </x:c>
      <x:c r="Y105" s="15" t="str"/>
      <x:c r="Z105" s="15" t="str">
        <x:v>長野県「農山漁村地域整備計画（H22-H26）」 https://www.pref.nagano.lg.jp/ringyo/documents/kyukeikaku.pdf</x:v>
      </x:c>
      <x:c r="AA105" s="15" t="str">
        <x:v>2026-07-10</x:v>
      </x:c>
    </x:row>
    <x:row r="106">
      <x:c r="A106" s="15" t="str">
        <x:v>NGN-000105</x:v>
      </x:c>
      <x:c r="B106" s="15" t="str">
        <x:v>妙義荒船線</x:v>
      </x:c>
      <x:c r="C106" s="15" t="str">
        <x:v>佐久市</x:v>
      </x:c>
      <x:c r="D106" s="15" t="str">
        <x:v>東信</x:v>
      </x:c>
      <x:c r="E106" s="15" t="str">
        <x:v>位置追加調査</x:v>
      </x:c>
      <x:c r="F106" s="15" t="str">
        <x:v>C</x:v>
      </x:c>
      <x:c r="G106" s="15" t="str">
        <x:v>R7-R11</x:v>
      </x:c>
      <x:c r="H106" s="15" t="str">
        <x:v>林道改良事業</x:v>
      </x:c>
      <x:c r="I106" s="15" t="str">
        <x:v>林道改良事業（改良L103=ｍ）</x:v>
      </x:c>
      <x:c r="J106" s="15" t="str"/>
      <x:c r="K106" s="15" t="str"/>
      <x:c r="L106" s="15" t="str">
        <x:v>位置未特定</x:v>
      </x:c>
      <x:c r="M106" s="15" t="str"/>
      <x:c r="N106" s="15" t="str"/>
      <x:c r="O106" s="15" t="str">
        <x:v>なし</x:v>
      </x:c>
      <x:c r="P106" s="15" t="str"/>
      <x:c r="Q106" s="15" t="str"/>
      <x:c r="R106" s="15" t="str"/>
      <x:c r="S106" s="15" t="str"/>
      <x:c r="T106" s="15" t="str">
        <x:v>未確認</x:v>
      </x:c>
      <x:c r="U106" s="15" t="str">
        <x:v>要確認</x:v>
      </x:c>
      <x:c r="V106" s="15" t="str">
        <x:v>長野県R7-R11計画掲載。入口・代表点未特定。</x:v>
      </x:c>
      <x:c r="W106" s="15" t="str">
        <x:v>通行可否・ゲート・路面は現地未確認。</x:v>
      </x:c>
      <x:c r="X106" s="15" t="str">
        <x:v>長野県『農山漁村地域整備計画（R7-R11）』 https://www.pref.nagano.lg.jp/ringyo/documents/sinkeikaku2025.pdf</x:v>
      </x:c>
      <x:c r="Y106" s="15" t="str"/>
      <x:c r="Z106" s="15" t="str">
        <x:v>https://www.pref.nagano.lg.jp/ringyo/documents/sinkeikaku2025.pdf</x:v>
      </x:c>
      <x:c r="AA106" s="15" t="str">
        <x:v>2026-07-10</x:v>
      </x:c>
    </x:row>
    <x:row r="107">
      <x:c r="A107" s="15" t="str">
        <x:v>NGN-000106</x:v>
      </x:c>
      <x:c r="B107" s="15" t="str">
        <x:v>九竜平線</x:v>
      </x:c>
      <x:c r="C107" s="15" t="str">
        <x:v>佐久市</x:v>
      </x:c>
      <x:c r="D107" s="15" t="str">
        <x:v>東信</x:v>
      </x:c>
      <x:c r="E107" s="15" t="str">
        <x:v>次点候補</x:v>
      </x:c>
      <x:c r="F107" s="15" t="str">
        <x:v>B</x:v>
      </x:c>
      <x:c r="G107" s="15" t="str">
        <x:v>R7-R11</x:v>
      </x:c>
      <x:c r="H107" s="15" t="str">
        <x:v>林道改良事業</x:v>
      </x:c>
      <x:c r="I107" s="15" t="str">
        <x:v>林道改良事業（改良L=50ｍ）</x:v>
      </x:c>
      <x:c r="J107" s="15" t="str"/>
      <x:c r="K107" s="15" t="str"/>
      <x:c r="L107" s="15" t="str">
        <x:v>OSM名前一致代表点</x:v>
      </x:c>
      <x:c r="M107" s="15" t="str">
        <x:v>36.2367462</x:v>
      </x:c>
      <x:c r="N107" s="15" t="str">
        <x:v>138.5730742</x:v>
      </x:c>
      <x:c r="O107" s="15" t="str">
        <x:v>あり</x:v>
      </x:c>
      <x:c r="P107" s="15" t="str">
        <x:v>unclassified</x:v>
      </x:c>
      <x:c r="Q107" s="15" t="str"/>
      <x:c r="R107" s="15" t="str"/>
      <x:c r="S107" s="15" t="str">
        <x:v>156125459/156125494/156125514</x:v>
      </x:c>
      <x:c r="T107" s="15" t="str">
        <x:v>中</x:v>
      </x:c>
      <x:c r="U107" s="15" t="str">
        <x:v>要確認</x:v>
      </x:c>
      <x:c r="V107" s="15" t="str">
        <x:v>長野県R7-R11計画掲載。OSM名前一致を市町村境界で確認。</x:v>
      </x:c>
      <x:c r="W107" s="15" t="str">
        <x:v>通行可否・ゲート・路面は現地未確認。</x:v>
      </x:c>
      <x:c r="X107" s="15" t="str">
        <x:v>長野県『農山漁村地域整備計画（R7-R11）』 https://www.pref.nagano.lg.jp/ringyo/documents/sinkeikaku2025.pdf</x:v>
      </x:c>
      <x:c r="Y107" s="15" t="str">
        <x:v>OpenStreetMap way 156125459（名前一致・市町村境界確認済み）</x:v>
      </x:c>
      <x:c r="Z107" s="15" t="str">
        <x:v>https://www.pref.nagano.lg.jp/ringyo/documents/sinkeikaku2025.pdf</x:v>
      </x:c>
      <x:c r="AA107" s="15" t="str">
        <x:v>2026-07-10</x:v>
      </x:c>
    </x:row>
    <x:row r="108">
      <x:c r="A108" s="15" t="str">
        <x:v>NGN-000107</x:v>
      </x:c>
      <x:c r="B108" s="15" t="str">
        <x:v>大上線</x:v>
      </x:c>
      <x:c r="C108" s="15" t="str">
        <x:v>佐久穂町</x:v>
      </x:c>
      <x:c r="D108" s="15" t="str">
        <x:v>東信</x:v>
      </x:c>
      <x:c r="E108" s="15" t="str">
        <x:v>次点候補</x:v>
      </x:c>
      <x:c r="F108" s="15" t="str">
        <x:v>B</x:v>
      </x:c>
      <x:c r="G108" s="15" t="str">
        <x:v>R7-R11</x:v>
      </x:c>
      <x:c r="H108" s="15" t="str">
        <x:v>林道改良事業</x:v>
      </x:c>
      <x:c r="I108" s="15" t="str">
        <x:v>林道改良事業（改良L=20ｍ）</x:v>
      </x:c>
      <x:c r="J108" s="15" t="str"/>
      <x:c r="K108" s="15" t="str"/>
      <x:c r="L108" s="15" t="str">
        <x:v>OSM名前一致代表点</x:v>
      </x:c>
      <x:c r="M108" s="15" t="str">
        <x:v>36.1389105</x:v>
      </x:c>
      <x:c r="N108" s="15" t="str">
        <x:v>138.6002376</x:v>
      </x:c>
      <x:c r="O108" s="15" t="str">
        <x:v>あり</x:v>
      </x:c>
      <x:c r="P108" s="15" t="str">
        <x:v>unclassified</x:v>
      </x:c>
      <x:c r="Q108" s="15" t="str"/>
      <x:c r="R108" s="15" t="str"/>
      <x:c r="S108" s="15" t="str">
        <x:v>170035476/190659741/190659753/190659755/190659761/190659763/190659764/190659776/190659781/190659805/190659808/190659822</x:v>
      </x:c>
      <x:c r="T108" s="15" t="str">
        <x:v>中</x:v>
      </x:c>
      <x:c r="U108" s="15" t="str">
        <x:v>要確認</x:v>
      </x:c>
      <x:c r="V108" s="15" t="str">
        <x:v>長野県R7-R11計画掲載。OSM名前一致を市町村境界で確認。</x:v>
      </x:c>
      <x:c r="W108" s="15" t="str">
        <x:v>通行可否・ゲート・路面は現地未確認。</x:v>
      </x:c>
      <x:c r="X108" s="15" t="str">
        <x:v>長野県『農山漁村地域整備計画（R7-R11）』 https://www.pref.nagano.lg.jp/ringyo/documents/sinkeikaku2025.pdf</x:v>
      </x:c>
      <x:c r="Y108" s="15" t="str">
        <x:v>OpenStreetMap way 170035476（名前一致・市町村境界確認済み）</x:v>
      </x:c>
      <x:c r="Z108" s="15" t="str">
        <x:v>https://www.pref.nagano.lg.jp/ringyo/documents/sinkeikaku2025.pdf</x:v>
      </x:c>
      <x:c r="AA108" s="15" t="str">
        <x:v>2026-07-10</x:v>
      </x:c>
    </x:row>
    <x:row r="109">
      <x:c r="A109" s="15" t="str">
        <x:v>NGN-000108</x:v>
      </x:c>
      <x:c r="B109" s="15" t="str">
        <x:v>山木1号線</x:v>
      </x:c>
      <x:c r="C109" s="15" t="str">
        <x:v>北相木村</x:v>
      </x:c>
      <x:c r="D109" s="15" t="str">
        <x:v>東信</x:v>
      </x:c>
      <x:c r="E109" s="15" t="str">
        <x:v>位置追加調査</x:v>
      </x:c>
      <x:c r="F109" s="15" t="str">
        <x:v>C</x:v>
      </x:c>
      <x:c r="G109" s="15" t="str">
        <x:v>R7-R11</x:v>
      </x:c>
      <x:c r="H109" s="15" t="str">
        <x:v>林道改良事業</x:v>
      </x:c>
      <x:c r="I109" s="15" t="str">
        <x:v>林道改良事業（改良L=32ｍ）</x:v>
      </x:c>
      <x:c r="J109" s="15" t="str"/>
      <x:c r="K109" s="15" t="str"/>
      <x:c r="L109" s="15" t="str">
        <x:v>位置未特定</x:v>
      </x:c>
      <x:c r="M109" s="15" t="str"/>
      <x:c r="N109" s="15" t="str"/>
      <x:c r="O109" s="15" t="str">
        <x:v>なし</x:v>
      </x:c>
      <x:c r="P109" s="15" t="str"/>
      <x:c r="Q109" s="15" t="str"/>
      <x:c r="R109" s="15" t="str"/>
      <x:c r="S109" s="15" t="str"/>
      <x:c r="T109" s="15" t="str">
        <x:v>未確認</x:v>
      </x:c>
      <x:c r="U109" s="15" t="str">
        <x:v>要確認</x:v>
      </x:c>
      <x:c r="V109" s="15" t="str">
        <x:v>長野県R7-R11計画掲載。入口・代表点未特定。</x:v>
      </x:c>
      <x:c r="W109" s="15" t="str">
        <x:v>通行可否・ゲート・路面は現地未確認。</x:v>
      </x:c>
      <x:c r="X109" s="15" t="str">
        <x:v>長野県『農山漁村地域整備計画（R7-R11）』 https://www.pref.nagano.lg.jp/ringyo/documents/sinkeikaku2025.pdf</x:v>
      </x:c>
      <x:c r="Y109" s="15" t="str"/>
      <x:c r="Z109" s="15" t="str">
        <x:v>https://www.pref.nagano.lg.jp/ringyo/documents/sinkeikaku2025.pdf</x:v>
      </x:c>
      <x:c r="AA109" s="15" t="str">
        <x:v>2026-07-10</x:v>
      </x:c>
    </x:row>
    <x:row r="110">
      <x:c r="A110" s="15" t="str">
        <x:v>NGN-000109</x:v>
      </x:c>
      <x:c r="B110" s="15" t="str">
        <x:v>森泉山線</x:v>
      </x:c>
      <x:c r="C110" s="15" t="str">
        <x:v>御代田町</x:v>
      </x:c>
      <x:c r="D110" s="15" t="str">
        <x:v>東信</x:v>
      </x:c>
      <x:c r="E110" s="15" t="str">
        <x:v>位置追加調査</x:v>
      </x:c>
      <x:c r="F110" s="15" t="str">
        <x:v>C</x:v>
      </x:c>
      <x:c r="G110" s="15" t="str">
        <x:v>R7-R11</x:v>
      </x:c>
      <x:c r="H110" s="15" t="str">
        <x:v>林道改良事業</x:v>
      </x:c>
      <x:c r="I110" s="15" t="str">
        <x:v>林道改良事業（改良L=20ｍ）</x:v>
      </x:c>
      <x:c r="J110" s="15" t="str"/>
      <x:c r="K110" s="15" t="str"/>
      <x:c r="L110" s="15" t="str">
        <x:v>位置未特定</x:v>
      </x:c>
      <x:c r="M110" s="15" t="str"/>
      <x:c r="N110" s="15" t="str"/>
      <x:c r="O110" s="15" t="str">
        <x:v>なし</x:v>
      </x:c>
      <x:c r="P110" s="15" t="str"/>
      <x:c r="Q110" s="15" t="str"/>
      <x:c r="R110" s="15" t="str"/>
      <x:c r="S110" s="15" t="str"/>
      <x:c r="T110" s="15" t="str">
        <x:v>未確認</x:v>
      </x:c>
      <x:c r="U110" s="15" t="str">
        <x:v>要確認</x:v>
      </x:c>
      <x:c r="V110" s="15" t="str">
        <x:v>長野県R7-R11計画掲載。入口・代表点未特定。</x:v>
      </x:c>
      <x:c r="W110" s="15" t="str">
        <x:v>通行可否・ゲート・路面は現地未確認。</x:v>
      </x:c>
      <x:c r="X110" s="15" t="str">
        <x:v>長野県『農山漁村地域整備計画（R7-R11）』 https://www.pref.nagano.lg.jp/ringyo/documents/sinkeikaku2025.pdf</x:v>
      </x:c>
      <x:c r="Y110" s="15" t="str"/>
      <x:c r="Z110" s="15" t="str">
        <x:v>https://www.pref.nagano.lg.jp/ringyo/documents/sinkeikaku2025.pdf</x:v>
      </x:c>
      <x:c r="AA110" s="15" t="str">
        <x:v>2026-07-10</x:v>
      </x:c>
    </x:row>
    <x:row r="111">
      <x:c r="A111" s="15" t="str">
        <x:v>NGN-000110</x:v>
      </x:c>
      <x:c r="B111" s="15" t="str">
        <x:v>大谷霧ヶ原線</x:v>
      </x:c>
      <x:c r="C111" s="15" t="str">
        <x:v>阿智村</x:v>
      </x:c>
      <x:c r="D111" s="15" t="str">
        <x:v>南信</x:v>
      </x:c>
      <x:c r="E111" s="15" t="str">
        <x:v>位置追加調査</x:v>
      </x:c>
      <x:c r="F111" s="15" t="str">
        <x:v>C</x:v>
      </x:c>
      <x:c r="G111" s="15" t="str">
        <x:v>R7-R11</x:v>
      </x:c>
      <x:c r="H111" s="15" t="str">
        <x:v>林道改良事業</x:v>
      </x:c>
      <x:c r="I111" s="15" t="str">
        <x:v>林道改良事業（改良L=2,100ｍ）</x:v>
      </x:c>
      <x:c r="J111" s="15" t="str"/>
      <x:c r="K111" s="15" t="str"/>
      <x:c r="L111" s="15" t="str">
        <x:v>位置未特定</x:v>
      </x:c>
      <x:c r="M111" s="15" t="str"/>
      <x:c r="N111" s="15" t="str"/>
      <x:c r="O111" s="15" t="str">
        <x:v>なし</x:v>
      </x:c>
      <x:c r="P111" s="15" t="str"/>
      <x:c r="Q111" s="15" t="str"/>
      <x:c r="R111" s="15" t="str"/>
      <x:c r="S111" s="15" t="str"/>
      <x:c r="T111" s="15" t="str">
        <x:v>未確認</x:v>
      </x:c>
      <x:c r="U111" s="15" t="str">
        <x:v>要確認</x:v>
      </x:c>
      <x:c r="V111" s="15" t="str">
        <x:v>長野県R7-R11計画掲載。入口・代表点未特定。</x:v>
      </x:c>
      <x:c r="W111" s="15" t="str">
        <x:v>通行可否・ゲート・路面は現地未確認。</x:v>
      </x:c>
      <x:c r="X111" s="15" t="str">
        <x:v>長野県『農山漁村地域整備計画（R7-R11）』 https://www.pref.nagano.lg.jp/ringyo/documents/sinkeikaku2025.pdf</x:v>
      </x:c>
      <x:c r="Y111" s="15" t="str"/>
      <x:c r="Z111" s="15" t="str">
        <x:v>https://www.pref.nagano.lg.jp/ringyo/documents/sinkeikaku2025.pdf</x:v>
      </x:c>
      <x:c r="AA111" s="15" t="str">
        <x:v>2026-07-10</x:v>
      </x:c>
    </x:row>
    <x:row r="112">
      <x:c r="A112" s="15" t="str">
        <x:v>NGN-000111</x:v>
      </x:c>
      <x:c r="B112" s="15" t="str">
        <x:v>本谷線</x:v>
      </x:c>
      <x:c r="C112" s="15" t="str">
        <x:v>豊丘村</x:v>
      </x:c>
      <x:c r="D112" s="15" t="str">
        <x:v>南信</x:v>
      </x:c>
      <x:c r="E112" s="15" t="str">
        <x:v>位置追加調査</x:v>
      </x:c>
      <x:c r="F112" s="15" t="str">
        <x:v>C</x:v>
      </x:c>
      <x:c r="G112" s="15" t="str">
        <x:v>R7-R11</x:v>
      </x:c>
      <x:c r="H112" s="15" t="str">
        <x:v>林道改良事業 | 林道点検診断・保全整備事業</x:v>
      </x:c>
      <x:c r="I112" s="15" t="str">
        <x:v>林道改良事業（改良L=64ｍ） | 点検診断・保全整備（点検診断L=59m） | 点検診断・保全整備（保全整備L=31m）</x:v>
      </x:c>
      <x:c r="J112" s="15" t="str"/>
      <x:c r="K112" s="15" t="str"/>
      <x:c r="L112" s="15" t="str">
        <x:v>位置未特定</x:v>
      </x:c>
      <x:c r="M112" s="15" t="str"/>
      <x:c r="N112" s="15" t="str"/>
      <x:c r="O112" s="15" t="str">
        <x:v>なし</x:v>
      </x:c>
      <x:c r="P112" s="15" t="str"/>
      <x:c r="Q112" s="15" t="str"/>
      <x:c r="R112" s="15" t="str"/>
      <x:c r="S112" s="15" t="str"/>
      <x:c r="T112" s="15" t="str">
        <x:v>未確認</x:v>
      </x:c>
      <x:c r="U112" s="15" t="str">
        <x:v>要確認</x:v>
      </x:c>
      <x:c r="V112" s="15" t="str">
        <x:v>長野県R7-R11計画掲載。入口・代表点未特定。</x:v>
      </x:c>
      <x:c r="W112" s="15" t="str">
        <x:v>通行可否・ゲート・路面は現地未確認。同名OSM 5件は市町村不一致で除外。</x:v>
      </x:c>
      <x:c r="X112" s="15" t="str">
        <x:v>長野県『農山漁村地域整備計画（R7-R11）』 https://www.pref.nagano.lg.jp/ringyo/documents/sinkeikaku2025.pdf</x:v>
      </x:c>
      <x:c r="Y112" s="15" t="str"/>
      <x:c r="Z112" s="15" t="str">
        <x:v>https://www.pref.nagano.lg.jp/ringyo/documents/sinkeikaku2025.pdf</x:v>
      </x:c>
      <x:c r="AA112" s="15" t="str">
        <x:v>2026-07-10</x:v>
      </x:c>
    </x:row>
    <x:row r="113">
      <x:c r="A113" s="15" t="str">
        <x:v>NGN-000112</x:v>
      </x:c>
      <x:c r="B113" s="15" t="str">
        <x:v>樽沢線</x:v>
      </x:c>
      <x:c r="C113" s="15" t="str">
        <x:v>王滝村</x:v>
      </x:c>
      <x:c r="D113" s="15" t="str">
        <x:v>中信</x:v>
      </x:c>
      <x:c r="E113" s="15" t="str">
        <x:v>位置追加調査</x:v>
      </x:c>
      <x:c r="F113" s="15" t="str">
        <x:v>C</x:v>
      </x:c>
      <x:c r="G113" s="15" t="str">
        <x:v>R7-R11</x:v>
      </x:c>
      <x:c r="H113" s="15" t="str">
        <x:v>林道改良事業</x:v>
      </x:c>
      <x:c r="I113" s="15" t="str">
        <x:v>林道改良事業（改良L=12ｍ）</x:v>
      </x:c>
      <x:c r="J113" s="15" t="str"/>
      <x:c r="K113" s="15" t="str"/>
      <x:c r="L113" s="15" t="str">
        <x:v>位置未特定</x:v>
      </x:c>
      <x:c r="M113" s="15" t="str"/>
      <x:c r="N113" s="15" t="str"/>
      <x:c r="O113" s="15" t="str">
        <x:v>なし</x:v>
      </x:c>
      <x:c r="P113" s="15" t="str"/>
      <x:c r="Q113" s="15" t="str"/>
      <x:c r="R113" s="15" t="str"/>
      <x:c r="S113" s="15" t="str"/>
      <x:c r="T113" s="15" t="str">
        <x:v>未確認</x:v>
      </x:c>
      <x:c r="U113" s="15" t="str">
        <x:v>要確認</x:v>
      </x:c>
      <x:c r="V113" s="15" t="str">
        <x:v>長野県R7-R11計画掲載。入口・代表点未特定。</x:v>
      </x:c>
      <x:c r="W113" s="15" t="str">
        <x:v>通行可否・ゲート・路面は現地未確認。</x:v>
      </x:c>
      <x:c r="X113" s="15" t="str">
        <x:v>長野県『農山漁村地域整備計画（R7-R11）』 https://www.pref.nagano.lg.jp/ringyo/documents/sinkeikaku2025.pdf</x:v>
      </x:c>
      <x:c r="Y113" s="15" t="str"/>
      <x:c r="Z113" s="15" t="str">
        <x:v>https://www.pref.nagano.lg.jp/ringyo/documents/sinkeikaku2025.pdf</x:v>
      </x:c>
      <x:c r="AA113" s="15" t="str">
        <x:v>2026-07-10</x:v>
      </x:c>
    </x:row>
    <x:row r="114">
      <x:c r="A114" s="15" t="str">
        <x:v>NGN-000113</x:v>
      </x:c>
      <x:c r="B114" s="15" t="str">
        <x:v>長峰線</x:v>
      </x:c>
      <x:c r="C114" s="15" t="str">
        <x:v>安曇野市</x:v>
      </x:c>
      <x:c r="D114" s="15" t="str">
        <x:v>中信</x:v>
      </x:c>
      <x:c r="E114" s="15" t="str">
        <x:v>位置追加調査</x:v>
      </x:c>
      <x:c r="F114" s="15" t="str">
        <x:v>C</x:v>
      </x:c>
      <x:c r="G114" s="15" t="str">
        <x:v>R7-R11</x:v>
      </x:c>
      <x:c r="H114" s="15" t="str">
        <x:v>林道改良事業</x:v>
      </x:c>
      <x:c r="I114" s="15" t="str">
        <x:v>林道改良事業（改良L=120ｍ）</x:v>
      </x:c>
      <x:c r="J114" s="15" t="str"/>
      <x:c r="K114" s="15" t="str"/>
      <x:c r="L114" s="15" t="str">
        <x:v>位置未特定</x:v>
      </x:c>
      <x:c r="M114" s="15" t="str"/>
      <x:c r="N114" s="15" t="str"/>
      <x:c r="O114" s="15" t="str">
        <x:v>なし</x:v>
      </x:c>
      <x:c r="P114" s="15" t="str"/>
      <x:c r="Q114" s="15" t="str"/>
      <x:c r="R114" s="15" t="str"/>
      <x:c r="S114" s="15" t="str"/>
      <x:c r="T114" s="15" t="str">
        <x:v>未確認</x:v>
      </x:c>
      <x:c r="U114" s="15" t="str">
        <x:v>要確認</x:v>
      </x:c>
      <x:c r="V114" s="15" t="str">
        <x:v>長野県R7-R11計画掲載。入口・代表点未特定。</x:v>
      </x:c>
      <x:c r="W114" s="15" t="str">
        <x:v>通行可否・ゲート・路面は現地未確認。</x:v>
      </x:c>
      <x:c r="X114" s="15" t="str">
        <x:v>長野県『農山漁村地域整備計画（R7-R11）』 https://www.pref.nagano.lg.jp/ringyo/documents/sinkeikaku2025.pdf</x:v>
      </x:c>
      <x:c r="Y114" s="15" t="str"/>
      <x:c r="Z114" s="15" t="str">
        <x:v>https://www.pref.nagano.lg.jp/ringyo/documents/sinkeikaku2025.pdf</x:v>
      </x:c>
      <x:c r="AA114" s="15" t="str">
        <x:v>2026-07-10</x:v>
      </x:c>
    </x:row>
    <x:row r="115">
      <x:c r="A115" s="15" t="str">
        <x:v>NGN-000114</x:v>
      </x:c>
      <x:c r="B115" s="15" t="str">
        <x:v>中津川線</x:v>
      </x:c>
      <x:c r="C115" s="15" t="str">
        <x:v>山ノ内町</x:v>
      </x:c>
      <x:c r="D115" s="15" t="str">
        <x:v>北信</x:v>
      </x:c>
      <x:c r="E115" s="15" t="str">
        <x:v>位置追加調査</x:v>
      </x:c>
      <x:c r="F115" s="15" t="str">
        <x:v>C</x:v>
      </x:c>
      <x:c r="G115" s="15" t="str">
        <x:v>R7-R11</x:v>
      </x:c>
      <x:c r="H115" s="15" t="str">
        <x:v>林道改良事業</x:v>
      </x:c>
      <x:c r="I115" s="15" t="str">
        <x:v>林道改良事業（改良L=8ｍ）</x:v>
      </x:c>
      <x:c r="J115" s="15" t="str"/>
      <x:c r="K115" s="15" t="str"/>
      <x:c r="L115" s="15" t="str">
        <x:v>位置未特定</x:v>
      </x:c>
      <x:c r="M115" s="15" t="str"/>
      <x:c r="N115" s="15" t="str"/>
      <x:c r="O115" s="15" t="str">
        <x:v>なし</x:v>
      </x:c>
      <x:c r="P115" s="15" t="str"/>
      <x:c r="Q115" s="15" t="str"/>
      <x:c r="R115" s="15" t="str"/>
      <x:c r="S115" s="15" t="str"/>
      <x:c r="T115" s="15" t="str">
        <x:v>未確認</x:v>
      </x:c>
      <x:c r="U115" s="15" t="str">
        <x:v>要確認</x:v>
      </x:c>
      <x:c r="V115" s="15" t="str">
        <x:v>長野県R7-R11計画掲載。入口・代表点未特定。</x:v>
      </x:c>
      <x:c r="W115" s="15" t="str">
        <x:v>通行可否・ゲート・路面は現地未確認。</x:v>
      </x:c>
      <x:c r="X115" s="15" t="str">
        <x:v>長野県『農山漁村地域整備計画（R7-R11）』 https://www.pref.nagano.lg.jp/ringyo/documents/sinkeikaku2025.pdf</x:v>
      </x:c>
      <x:c r="Y115" s="15" t="str"/>
      <x:c r="Z115" s="15" t="str">
        <x:v>https://www.pref.nagano.lg.jp/ringyo/documents/sinkeikaku2025.pdf</x:v>
      </x:c>
      <x:c r="AA115" s="15" t="str">
        <x:v>2026-07-10</x:v>
      </x:c>
    </x:row>
    <x:row r="116">
      <x:c r="A116" s="15" t="str">
        <x:v>NGN-000115</x:v>
      </x:c>
      <x:c r="B116" s="15" t="str">
        <x:v>城山線</x:v>
      </x:c>
      <x:c r="C116" s="15" t="str">
        <x:v>佐久市</x:v>
      </x:c>
      <x:c r="D116" s="15" t="str">
        <x:v>東信</x:v>
      </x:c>
      <x:c r="E116" s="15" t="str">
        <x:v>位置追加調査</x:v>
      </x:c>
      <x:c r="F116" s="15" t="str">
        <x:v>C</x:v>
      </x:c>
      <x:c r="G116" s="15" t="str">
        <x:v>R7-R11</x:v>
      </x:c>
      <x:c r="H116" s="15" t="str">
        <x:v>林道点検診断・保全整備事業</x:v>
      </x:c>
      <x:c r="I116" s="15" t="str">
        <x:v>点検診断・保全整備（点検診断L=63m）</x:v>
      </x:c>
      <x:c r="J116" s="15" t="str"/>
      <x:c r="K116" s="15" t="str"/>
      <x:c r="L116" s="15" t="str">
        <x:v>位置未特定</x:v>
      </x:c>
      <x:c r="M116" s="15" t="str"/>
      <x:c r="N116" s="15" t="str"/>
      <x:c r="O116" s="15" t="str">
        <x:v>なし</x:v>
      </x:c>
      <x:c r="P116" s="15" t="str"/>
      <x:c r="Q116" s="15" t="str"/>
      <x:c r="R116" s="15" t="str"/>
      <x:c r="S116" s="15" t="str"/>
      <x:c r="T116" s="15" t="str">
        <x:v>未確認</x:v>
      </x:c>
      <x:c r="U116" s="15" t="str">
        <x:v>要確認</x:v>
      </x:c>
      <x:c r="V116" s="15" t="str">
        <x:v>長野県R7-R11計画掲載。入口・代表点未特定。</x:v>
      </x:c>
      <x:c r="W116" s="15" t="str">
        <x:v>通行可否・ゲート・路面は現地未確認。</x:v>
      </x:c>
      <x:c r="X116" s="15" t="str">
        <x:v>長野県『農山漁村地域整備計画（R7-R11）』 https://www.pref.nagano.lg.jp/ringyo/documents/sinkeikaku2025.pdf</x:v>
      </x:c>
      <x:c r="Y116" s="15" t="str"/>
      <x:c r="Z116" s="15" t="str">
        <x:v>https://www.pref.nagano.lg.jp/ringyo/documents/sinkeikaku2025.pdf</x:v>
      </x:c>
      <x:c r="AA116" s="15" t="str">
        <x:v>2026-07-10</x:v>
      </x:c>
    </x:row>
    <x:row r="117">
      <x:c r="A117" s="15" t="str">
        <x:v>NGN-000116</x:v>
      </x:c>
      <x:c r="B117" s="15" t="str">
        <x:v>虚空蔵線</x:v>
      </x:c>
      <x:c r="C117" s="15" t="str">
        <x:v>上田市</x:v>
      </x:c>
      <x:c r="D117" s="15" t="str">
        <x:v>東信</x:v>
      </x:c>
      <x:c r="E117" s="15" t="str">
        <x:v>位置追加調査</x:v>
      </x:c>
      <x:c r="F117" s="15" t="str">
        <x:v>C</x:v>
      </x:c>
      <x:c r="G117" s="15" t="str">
        <x:v>R7-R11</x:v>
      </x:c>
      <x:c r="H117" s="15" t="str">
        <x:v>林道点検診断・保全整備事業</x:v>
      </x:c>
      <x:c r="I117" s="15" t="str">
        <x:v>点検診断・保全整備（保全整備L=6m）</x:v>
      </x:c>
      <x:c r="J117" s="15" t="str"/>
      <x:c r="K117" s="15" t="str"/>
      <x:c r="L117" s="15" t="str">
        <x:v>位置未特定</x:v>
      </x:c>
      <x:c r="M117" s="15" t="str"/>
      <x:c r="N117" s="15" t="str"/>
      <x:c r="O117" s="15" t="str">
        <x:v>なし</x:v>
      </x:c>
      <x:c r="P117" s="15" t="str"/>
      <x:c r="Q117" s="15" t="str"/>
      <x:c r="R117" s="15" t="str"/>
      <x:c r="S117" s="15" t="str"/>
      <x:c r="T117" s="15" t="str">
        <x:v>未確認</x:v>
      </x:c>
      <x:c r="U117" s="15" t="str">
        <x:v>要確認</x:v>
      </x:c>
      <x:c r="V117" s="15" t="str">
        <x:v>長野県R7-R11計画掲載。入口・代表点未特定。</x:v>
      </x:c>
      <x:c r="W117" s="15" t="str">
        <x:v>通行可否・ゲート・路面は現地未確認。</x:v>
      </x:c>
      <x:c r="X117" s="15" t="str">
        <x:v>長野県『農山漁村地域整備計画（R7-R11）』 https://www.pref.nagano.lg.jp/ringyo/documents/sinkeikaku2025.pdf</x:v>
      </x:c>
      <x:c r="Y117" s="15" t="str"/>
      <x:c r="Z117" s="15" t="str">
        <x:v>https://www.pref.nagano.lg.jp/ringyo/documents/sinkeikaku2025.pdf</x:v>
      </x:c>
      <x:c r="AA117" s="15" t="str">
        <x:v>2026-07-10</x:v>
      </x:c>
    </x:row>
    <x:row r="118">
      <x:c r="A118" s="15" t="str">
        <x:v>NGN-000117</x:v>
      </x:c>
      <x:c r="B118" s="15" t="str">
        <x:v>氷沢線</x:v>
      </x:c>
      <x:c r="C118" s="15" t="str">
        <x:v>上田市</x:v>
      </x:c>
      <x:c r="D118" s="15" t="str">
        <x:v>東信</x:v>
      </x:c>
      <x:c r="E118" s="15" t="str">
        <x:v>位置追加調査</x:v>
      </x:c>
      <x:c r="F118" s="15" t="str">
        <x:v>C</x:v>
      </x:c>
      <x:c r="G118" s="15" t="str">
        <x:v>R7-R11</x:v>
      </x:c>
      <x:c r="H118" s="15" t="str">
        <x:v>林道点検診断・保全整備事業</x:v>
      </x:c>
      <x:c r="I118" s="15" t="str">
        <x:v>点検診断・保全整備（保全整備L=14m）</x:v>
      </x:c>
      <x:c r="J118" s="15" t="str"/>
      <x:c r="K118" s="15" t="str"/>
      <x:c r="L118" s="15" t="str">
        <x:v>位置未特定</x:v>
      </x:c>
      <x:c r="M118" s="15" t="str"/>
      <x:c r="N118" s="15" t="str"/>
      <x:c r="O118" s="15" t="str">
        <x:v>なし</x:v>
      </x:c>
      <x:c r="P118" s="15" t="str"/>
      <x:c r="Q118" s="15" t="str"/>
      <x:c r="R118" s="15" t="str"/>
      <x:c r="S118" s="15" t="str"/>
      <x:c r="T118" s="15" t="str">
        <x:v>未確認</x:v>
      </x:c>
      <x:c r="U118" s="15" t="str">
        <x:v>要確認</x:v>
      </x:c>
      <x:c r="V118" s="15" t="str">
        <x:v>長野県R7-R11計画掲載。入口・代表点未特定。</x:v>
      </x:c>
      <x:c r="W118" s="15" t="str">
        <x:v>通行可否・ゲート・路面は現地未確認。</x:v>
      </x:c>
      <x:c r="X118" s="15" t="str">
        <x:v>長野県『農山漁村地域整備計画（R7-R11）』 https://www.pref.nagano.lg.jp/ringyo/documents/sinkeikaku2025.pdf</x:v>
      </x:c>
      <x:c r="Y118" s="15" t="str"/>
      <x:c r="Z118" s="15" t="str">
        <x:v>https://www.pref.nagano.lg.jp/ringyo/documents/sinkeikaku2025.pdf</x:v>
      </x:c>
      <x:c r="AA118" s="15" t="str">
        <x:v>2026-07-10</x:v>
      </x:c>
    </x:row>
    <x:row r="119">
      <x:c r="A119" s="15" t="str">
        <x:v>NGN-000118</x:v>
      </x:c>
      <x:c r="B119" s="15" t="str">
        <x:v>和田武石線</x:v>
      </x:c>
      <x:c r="C119" s="15" t="str">
        <x:v>上田市</x:v>
      </x:c>
      <x:c r="D119" s="15" t="str">
        <x:v>東信</x:v>
      </x:c>
      <x:c r="E119" s="15" t="str">
        <x:v>位置追加調査</x:v>
      </x:c>
      <x:c r="F119" s="15" t="str">
        <x:v>C</x:v>
      </x:c>
      <x:c r="G119" s="15" t="str">
        <x:v>R7-R11</x:v>
      </x:c>
      <x:c r="H119" s="15" t="str">
        <x:v>林道点検診断・保全整備事業</x:v>
      </x:c>
      <x:c r="I119" s="15" t="str">
        <x:v>点検診断・保全整備（保全整備L=5m）</x:v>
      </x:c>
      <x:c r="J119" s="15" t="str"/>
      <x:c r="K119" s="15" t="str"/>
      <x:c r="L119" s="15" t="str">
        <x:v>位置未特定</x:v>
      </x:c>
      <x:c r="M119" s="15" t="str"/>
      <x:c r="N119" s="15" t="str"/>
      <x:c r="O119" s="15" t="str">
        <x:v>なし</x:v>
      </x:c>
      <x:c r="P119" s="15" t="str"/>
      <x:c r="Q119" s="15" t="str"/>
      <x:c r="R119" s="15" t="str"/>
      <x:c r="S119" s="15" t="str"/>
      <x:c r="T119" s="15" t="str">
        <x:v>未確認</x:v>
      </x:c>
      <x:c r="U119" s="15" t="str">
        <x:v>要確認</x:v>
      </x:c>
      <x:c r="V119" s="15" t="str">
        <x:v>長野県R7-R11計画掲載。入口・代表点未特定。</x:v>
      </x:c>
      <x:c r="W119" s="15" t="str">
        <x:v>通行可否・ゲート・路面は現地未確認。</x:v>
      </x:c>
      <x:c r="X119" s="15" t="str">
        <x:v>長野県『農山漁村地域整備計画（R7-R11）』 https://www.pref.nagano.lg.jp/ringyo/documents/sinkeikaku2025.pdf</x:v>
      </x:c>
      <x:c r="Y119" s="15" t="str"/>
      <x:c r="Z119" s="15" t="str">
        <x:v>https://www.pref.nagano.lg.jp/ringyo/documents/sinkeikaku2025.pdf</x:v>
      </x:c>
      <x:c r="AA119" s="15" t="str">
        <x:v>2026-07-10</x:v>
      </x:c>
    </x:row>
    <x:row r="120">
      <x:c r="A120" s="15" t="str">
        <x:v>NGN-000119</x:v>
      </x:c>
      <x:c r="B120" s="15" t="str">
        <x:v>沢山線</x:v>
      </x:c>
      <x:c r="C120" s="15" t="str">
        <x:v>上田市</x:v>
      </x:c>
      <x:c r="D120" s="15" t="str">
        <x:v>東信</x:v>
      </x:c>
      <x:c r="E120" s="15" t="str">
        <x:v>位置追加調査</x:v>
      </x:c>
      <x:c r="F120" s="15" t="str">
        <x:v>C</x:v>
      </x:c>
      <x:c r="G120" s="15" t="str">
        <x:v>R7-R11</x:v>
      </x:c>
      <x:c r="H120" s="15" t="str">
        <x:v>林道点検診断・保全整備事業</x:v>
      </x:c>
      <x:c r="I120" s="15" t="str">
        <x:v>点検診断・保全整備（点検診断L=27m） | 点検診断・保全整備（点検診断L=82m）</x:v>
      </x:c>
      <x:c r="J120" s="15" t="str"/>
      <x:c r="K120" s="15" t="str"/>
      <x:c r="L120" s="15" t="str">
        <x:v>位置未特定</x:v>
      </x:c>
      <x:c r="M120" s="15" t="str"/>
      <x:c r="N120" s="15" t="str"/>
      <x:c r="O120" s="15" t="str">
        <x:v>なし</x:v>
      </x:c>
      <x:c r="P120" s="15" t="str"/>
      <x:c r="Q120" s="15" t="str"/>
      <x:c r="R120" s="15" t="str"/>
      <x:c r="S120" s="15" t="str"/>
      <x:c r="T120" s="15" t="str">
        <x:v>未確認</x:v>
      </x:c>
      <x:c r="U120" s="15" t="str">
        <x:v>要確認</x:v>
      </x:c>
      <x:c r="V120" s="15" t="str">
        <x:v>長野県R7-R11計画掲載。入口・代表点未特定。</x:v>
      </x:c>
      <x:c r="W120" s="15" t="str">
        <x:v>通行可否・ゲート・路面は現地未確認。</x:v>
      </x:c>
      <x:c r="X120" s="15" t="str">
        <x:v>長野県『農山漁村地域整備計画（R7-R11）』 https://www.pref.nagano.lg.jp/ringyo/documents/sinkeikaku2025.pdf</x:v>
      </x:c>
      <x:c r="Y120" s="15" t="str"/>
      <x:c r="Z120" s="15" t="str">
        <x:v>https://www.pref.nagano.lg.jp/ringyo/documents/sinkeikaku2025.pdf</x:v>
      </x:c>
      <x:c r="AA120" s="15" t="str">
        <x:v>2026-07-10</x:v>
      </x:c>
    </x:row>
    <x:row r="121">
      <x:c r="A121" s="15" t="str">
        <x:v>NGN-000120</x:v>
      </x:c>
      <x:c r="B121" s="15" t="str">
        <x:v>小横川線</x:v>
      </x:c>
      <x:c r="C121" s="15" t="str">
        <x:v>辰野町</x:v>
      </x:c>
      <x:c r="D121" s="15" t="str">
        <x:v>南信</x:v>
      </x:c>
      <x:c r="E121" s="15" t="str">
        <x:v>位置追加調査</x:v>
      </x:c>
      <x:c r="F121" s="15" t="str">
        <x:v>C</x:v>
      </x:c>
      <x:c r="G121" s="15" t="str">
        <x:v>R7-R11</x:v>
      </x:c>
      <x:c r="H121" s="15" t="str">
        <x:v>林道点検診断・保全整備事業</x:v>
      </x:c>
      <x:c r="I121" s="15" t="str">
        <x:v>点検診断・保全整備（点検診断L=39m）</x:v>
      </x:c>
      <x:c r="J121" s="15" t="str"/>
      <x:c r="K121" s="15" t="str"/>
      <x:c r="L121" s="15" t="str">
        <x:v>位置未特定</x:v>
      </x:c>
      <x:c r="M121" s="15" t="str"/>
      <x:c r="N121" s="15" t="str"/>
      <x:c r="O121" s="15" t="str">
        <x:v>なし</x:v>
      </x:c>
      <x:c r="P121" s="15" t="str"/>
      <x:c r="Q121" s="15" t="str"/>
      <x:c r="R121" s="15" t="str"/>
      <x:c r="S121" s="15" t="str"/>
      <x:c r="T121" s="15" t="str">
        <x:v>未確認</x:v>
      </x:c>
      <x:c r="U121" s="15" t="str">
        <x:v>要確認</x:v>
      </x:c>
      <x:c r="V121" s="15" t="str">
        <x:v>長野県R7-R11計画掲載。入口・代表点未特定。</x:v>
      </x:c>
      <x:c r="W121" s="15" t="str">
        <x:v>通行可否・ゲート・路面は現地未確認。</x:v>
      </x:c>
      <x:c r="X121" s="15" t="str">
        <x:v>長野県『農山漁村地域整備計画（R7-R11）』 https://www.pref.nagano.lg.jp/ringyo/documents/sinkeikaku2025.pdf</x:v>
      </x:c>
      <x:c r="Y121" s="15" t="str"/>
      <x:c r="Z121" s="15" t="str">
        <x:v>https://www.pref.nagano.lg.jp/ringyo/documents/sinkeikaku2025.pdf</x:v>
      </x:c>
      <x:c r="AA121" s="15" t="str">
        <x:v>2026-07-10</x:v>
      </x:c>
    </x:row>
    <x:row r="122">
      <x:c r="A122" s="15" t="str">
        <x:v>NGN-000121</x:v>
      </x:c>
      <x:c r="B122" s="15" t="str">
        <x:v>中樽線</x:v>
      </x:c>
      <x:c r="C122" s="15" t="str">
        <x:v>箕輪町</x:v>
      </x:c>
      <x:c r="D122" s="15" t="str">
        <x:v>南信</x:v>
      </x:c>
      <x:c r="E122" s="15" t="str">
        <x:v>位置追加調査</x:v>
      </x:c>
      <x:c r="F122" s="15" t="str">
        <x:v>C</x:v>
      </x:c>
      <x:c r="G122" s="15" t="str">
        <x:v>R7-R11</x:v>
      </x:c>
      <x:c r="H122" s="15" t="str">
        <x:v>林道点検診断・保全整備事業</x:v>
      </x:c>
      <x:c r="I122" s="15" t="str">
        <x:v>点検診断・保全整備（点検診断L=165m）</x:v>
      </x:c>
      <x:c r="J122" s="15" t="str"/>
      <x:c r="K122" s="15" t="str"/>
      <x:c r="L122" s="15" t="str">
        <x:v>位置未特定</x:v>
      </x:c>
      <x:c r="M122" s="15" t="str"/>
      <x:c r="N122" s="15" t="str"/>
      <x:c r="O122" s="15" t="str">
        <x:v>なし</x:v>
      </x:c>
      <x:c r="P122" s="15" t="str"/>
      <x:c r="Q122" s="15" t="str"/>
      <x:c r="R122" s="15" t="str"/>
      <x:c r="S122" s="15" t="str"/>
      <x:c r="T122" s="15" t="str">
        <x:v>未確認</x:v>
      </x:c>
      <x:c r="U122" s="15" t="str">
        <x:v>要確認</x:v>
      </x:c>
      <x:c r="V122" s="15" t="str">
        <x:v>長野県R7-R11計画掲載。入口・代表点未特定。</x:v>
      </x:c>
      <x:c r="W122" s="15" t="str">
        <x:v>通行可否・ゲート・路面は現地未確認。</x:v>
      </x:c>
      <x:c r="X122" s="15" t="str">
        <x:v>長野県『農山漁村地域整備計画（R7-R11）』 https://www.pref.nagano.lg.jp/ringyo/documents/sinkeikaku2025.pdf</x:v>
      </x:c>
      <x:c r="Y122" s="15" t="str"/>
      <x:c r="Z122" s="15" t="str">
        <x:v>https://www.pref.nagano.lg.jp/ringyo/documents/sinkeikaku2025.pdf</x:v>
      </x:c>
      <x:c r="AA122" s="15" t="str">
        <x:v>2026-07-10</x:v>
      </x:c>
    </x:row>
    <x:row r="123">
      <x:c r="A123" s="15" t="str">
        <x:v>NGN-000122</x:v>
      </x:c>
      <x:c r="B123" s="15" t="str">
        <x:v>野底山線</x:v>
      </x:c>
      <x:c r="C123" s="15" t="str">
        <x:v>飯田市</x:v>
      </x:c>
      <x:c r="D123" s="15" t="str">
        <x:v>南信</x:v>
      </x:c>
      <x:c r="E123" s="15" t="str">
        <x:v>位置追加調査</x:v>
      </x:c>
      <x:c r="F123" s="15" t="str">
        <x:v>C</x:v>
      </x:c>
      <x:c r="G123" s="15" t="str">
        <x:v>R7-R11</x:v>
      </x:c>
      <x:c r="H123" s="15" t="str">
        <x:v>林道点検診断・保全整備事業</x:v>
      </x:c>
      <x:c r="I123" s="15" t="str">
        <x:v>点検診断・保全整備（保全整備L=13m） | 点検診断・保全整備（点検診断L=557m）</x:v>
      </x:c>
      <x:c r="J123" s="15" t="str"/>
      <x:c r="K123" s="15" t="str"/>
      <x:c r="L123" s="15" t="str">
        <x:v>位置未特定</x:v>
      </x:c>
      <x:c r="M123" s="15" t="str"/>
      <x:c r="N123" s="15" t="str"/>
      <x:c r="O123" s="15" t="str">
        <x:v>なし</x:v>
      </x:c>
      <x:c r="P123" s="15" t="str"/>
      <x:c r="Q123" s="15" t="str"/>
      <x:c r="R123" s="15" t="str"/>
      <x:c r="S123" s="15" t="str"/>
      <x:c r="T123" s="15" t="str">
        <x:v>未確認</x:v>
      </x:c>
      <x:c r="U123" s="15" t="str">
        <x:v>要確認</x:v>
      </x:c>
      <x:c r="V123" s="15" t="str">
        <x:v>長野県R7-R11計画掲載。入口・代表点未特定。</x:v>
      </x:c>
      <x:c r="W123" s="15" t="str">
        <x:v>通行可否・ゲート・路面は現地未確認。</x:v>
      </x:c>
      <x:c r="X123" s="15" t="str">
        <x:v>長野県『農山漁村地域整備計画（R7-R11）』 https://www.pref.nagano.lg.jp/ringyo/documents/sinkeikaku2025.pdf</x:v>
      </x:c>
      <x:c r="Y123" s="15" t="str"/>
      <x:c r="Z123" s="15" t="str">
        <x:v>https://www.pref.nagano.lg.jp/ringyo/documents/sinkeikaku2025.pdf</x:v>
      </x:c>
      <x:c r="AA123" s="15" t="str">
        <x:v>2026-07-10</x:v>
      </x:c>
    </x:row>
    <x:row r="124">
      <x:c r="A124" s="15" t="str">
        <x:v>NGN-000123</x:v>
      </x:c>
      <x:c r="B124" s="15" t="str">
        <x:v>鳩打線</x:v>
      </x:c>
      <x:c r="C124" s="15" t="str">
        <x:v>飯田市</x:v>
      </x:c>
      <x:c r="D124" s="15" t="str">
        <x:v>南信</x:v>
      </x:c>
      <x:c r="E124" s="15" t="str">
        <x:v>全県有力候補</x:v>
      </x:c>
      <x:c r="F124" s="15" t="str">
        <x:v>A</x:v>
      </x:c>
      <x:c r="G124" s="15" t="str">
        <x:v>R7-R11</x:v>
      </x:c>
      <x:c r="H124" s="15" t="str">
        <x:v>林道点検診断・保全整備事業</x:v>
      </x:c>
      <x:c r="I124" s="15" t="str">
        <x:v>点検診断・保全整備（点検診断L=360m）</x:v>
      </x:c>
      <x:c r="J124" s="15" t="str"/>
      <x:c r="K124" s="15" t="str"/>
      <x:c r="L124" s="15" t="str">
        <x:v>OSM名前一致代表点</x:v>
      </x:c>
      <x:c r="M124" s="15" t="str">
        <x:v>35.5517664</x:v>
      </x:c>
      <x:c r="N124" s="15" t="str">
        <x:v>137.7255419</x:v>
      </x:c>
      <x:c r="O124" s="15" t="str">
        <x:v>あり</x:v>
      </x:c>
      <x:c r="P124" s="15" t="str">
        <x:v>unclassified</x:v>
      </x:c>
      <x:c r="Q124" s="15" t="str">
        <x:v>gravel</x:v>
      </x:c>
      <x:c r="R124" s="15" t="str"/>
      <x:c r="S124" s="15" t="str">
        <x:v>151293896/151412259/151412261/837276172/854519284/854519295/943679047</x:v>
      </x:c>
      <x:c r="T124" s="15" t="str">
        <x:v>強</x:v>
      </x:c>
      <x:c r="U124" s="15" t="str">
        <x:v>要確認</x:v>
      </x:c>
      <x:c r="V124" s="15" t="str">
        <x:v>長野県R7-R11計画掲載。OSM名前一致を市町村境界で確認。trackまたは未舗装系タグあり。</x:v>
      </x:c>
      <x:c r="W124" s="15" t="str">
        <x:v>通行可否・ゲート・路面は現地未確認。</x:v>
      </x:c>
      <x:c r="X124" s="15" t="str">
        <x:v>長野県『農山漁村地域整備計画（R7-R11）』 https://www.pref.nagano.lg.jp/ringyo/documents/sinkeikaku2025.pdf</x:v>
      </x:c>
      <x:c r="Y124" s="15" t="str">
        <x:v>OpenStreetMap way 151412259（名前一致・市町村境界確認済み）</x:v>
      </x:c>
      <x:c r="Z124" s="15" t="str">
        <x:v>https://www.pref.nagano.lg.jp/ringyo/documents/sinkeikaku2025.pdf</x:v>
      </x:c>
      <x:c r="AA124" s="15" t="str">
        <x:v>2026-07-10</x:v>
      </x:c>
    </x:row>
    <x:row r="125">
      <x:c r="A125" s="15" t="str">
        <x:v>NGN-000124</x:v>
      </x:c>
      <x:c r="B125" s="15" t="str">
        <x:v>千遠線</x:v>
      </x:c>
      <x:c r="C125" s="15" t="str">
        <x:v>飯田市</x:v>
      </x:c>
      <x:c r="D125" s="15" t="str">
        <x:v>南信</x:v>
      </x:c>
      <x:c r="E125" s="15" t="str">
        <x:v>位置追加調査</x:v>
      </x:c>
      <x:c r="F125" s="15" t="str">
        <x:v>C</x:v>
      </x:c>
      <x:c r="G125" s="15" t="str">
        <x:v>R7-R11</x:v>
      </x:c>
      <x:c r="H125" s="15" t="str">
        <x:v>林道点検診断・保全整備事業</x:v>
      </x:c>
      <x:c r="I125" s="15" t="str">
        <x:v>点検診断・保全整備（点検診断L=350m）</x:v>
      </x:c>
      <x:c r="J125" s="15" t="str"/>
      <x:c r="K125" s="15" t="str"/>
      <x:c r="L125" s="15" t="str">
        <x:v>位置未特定</x:v>
      </x:c>
      <x:c r="M125" s="15" t="str"/>
      <x:c r="N125" s="15" t="str"/>
      <x:c r="O125" s="15" t="str">
        <x:v>なし</x:v>
      </x:c>
      <x:c r="P125" s="15" t="str"/>
      <x:c r="Q125" s="15" t="str"/>
      <x:c r="R125" s="15" t="str"/>
      <x:c r="S125" s="15" t="str"/>
      <x:c r="T125" s="15" t="str">
        <x:v>未確認</x:v>
      </x:c>
      <x:c r="U125" s="15" t="str">
        <x:v>要確認</x:v>
      </x:c>
      <x:c r="V125" s="15" t="str">
        <x:v>長野県R7-R11計画掲載。入口・代表点未特定。</x:v>
      </x:c>
      <x:c r="W125" s="15" t="str">
        <x:v>通行可否・ゲート・路面は現地未確認。</x:v>
      </x:c>
      <x:c r="X125" s="15" t="str">
        <x:v>長野県『農山漁村地域整備計画（R7-R11）』 https://www.pref.nagano.lg.jp/ringyo/documents/sinkeikaku2025.pdf</x:v>
      </x:c>
      <x:c r="Y125" s="15" t="str"/>
      <x:c r="Z125" s="15" t="str">
        <x:v>https://www.pref.nagano.lg.jp/ringyo/documents/sinkeikaku2025.pdf</x:v>
      </x:c>
      <x:c r="AA125" s="15" t="str">
        <x:v>2026-07-10</x:v>
      </x:c>
    </x:row>
    <x:row r="126">
      <x:c r="A126" s="15" t="str">
        <x:v>NGN-000125</x:v>
      </x:c>
      <x:c r="B126" s="15" t="str">
        <x:v>松川入線</x:v>
      </x:c>
      <x:c r="C126" s="15" t="str">
        <x:v>飯田市</x:v>
      </x:c>
      <x:c r="D126" s="15" t="str">
        <x:v>南信</x:v>
      </x:c>
      <x:c r="E126" s="15" t="str">
        <x:v>次点候補</x:v>
      </x:c>
      <x:c r="F126" s="15" t="str">
        <x:v>B</x:v>
      </x:c>
      <x:c r="G126" s="15" t="str">
        <x:v>R7-R11</x:v>
      </x:c>
      <x:c r="H126" s="15" t="str">
        <x:v>林道点検診断・保全整備事業</x:v>
      </x:c>
      <x:c r="I126" s="15" t="str">
        <x:v>点検診断・保全整備（点検診断L=463m）</x:v>
      </x:c>
      <x:c r="J126" s="15" t="str"/>
      <x:c r="K126" s="15" t="str"/>
      <x:c r="L126" s="15" t="str">
        <x:v>OSM名前一致代表点</x:v>
      </x:c>
      <x:c r="M126" s="15" t="str">
        <x:v>35.5728515</x:v>
      </x:c>
      <x:c r="N126" s="15" t="str">
        <x:v>137.7623694</x:v>
      </x:c>
      <x:c r="O126" s="15" t="str">
        <x:v>あり</x:v>
      </x:c>
      <x:c r="P126" s="15" t="str">
        <x:v>unclassified/track</x:v>
      </x:c>
      <x:c r="Q126" s="15" t="str"/>
      <x:c r="R126" s="15" t="str"/>
      <x:c r="S126" s="15" t="str">
        <x:v>151412226/151546931/151547074/151547134</x:v>
      </x:c>
      <x:c r="T126" s="15" t="str">
        <x:v>中</x:v>
      </x:c>
      <x:c r="U126" s="15" t="str">
        <x:v>要確認</x:v>
      </x:c>
      <x:c r="V126" s="15" t="str">
        <x:v>長野県R7-R11計画掲載。OSM名前一致を市町村境界で確認。</x:v>
      </x:c>
      <x:c r="W126" s="15" t="str">
        <x:v>通行可否・ゲート・路面は現地未確認。</x:v>
      </x:c>
      <x:c r="X126" s="15" t="str">
        <x:v>長野県『農山漁村地域整備計画（R7-R11）』 https://www.pref.nagano.lg.jp/ringyo/documents/sinkeikaku2025.pdf</x:v>
      </x:c>
      <x:c r="Y126" s="15" t="str">
        <x:v>OpenStreetMap way 151547134（名前一致・市町村境界確認済み）</x:v>
      </x:c>
      <x:c r="Z126" s="15" t="str">
        <x:v>https://www.pref.nagano.lg.jp/ringyo/documents/sinkeikaku2025.pdf</x:v>
      </x:c>
      <x:c r="AA126" s="15" t="str">
        <x:v>2026-07-10</x:v>
      </x:c>
    </x:row>
    <x:row r="127">
      <x:c r="A127" s="15" t="str">
        <x:v>NGN-000126</x:v>
      </x:c>
      <x:c r="B127" s="15" t="str">
        <x:v>畑の沢線</x:v>
      </x:c>
      <x:c r="C127" s="15" t="str">
        <x:v>飯田市</x:v>
      </x:c>
      <x:c r="D127" s="15" t="str">
        <x:v>南信</x:v>
      </x:c>
      <x:c r="E127" s="15" t="str">
        <x:v>位置追加調査</x:v>
      </x:c>
      <x:c r="F127" s="15" t="str">
        <x:v>C</x:v>
      </x:c>
      <x:c r="G127" s="15" t="str">
        <x:v>R7-R11</x:v>
      </x:c>
      <x:c r="H127" s="15" t="str">
        <x:v>林道点検診断・保全整備事業</x:v>
      </x:c>
      <x:c r="I127" s="15" t="str">
        <x:v>点検診断・保全整備（保全整備L=6m）</x:v>
      </x:c>
      <x:c r="J127" s="15" t="str"/>
      <x:c r="K127" s="15" t="str"/>
      <x:c r="L127" s="15" t="str">
        <x:v>位置未特定</x:v>
      </x:c>
      <x:c r="M127" s="15" t="str"/>
      <x:c r="N127" s="15" t="str"/>
      <x:c r="O127" s="15" t="str">
        <x:v>なし</x:v>
      </x:c>
      <x:c r="P127" s="15" t="str"/>
      <x:c r="Q127" s="15" t="str"/>
      <x:c r="R127" s="15" t="str"/>
      <x:c r="S127" s="15" t="str"/>
      <x:c r="T127" s="15" t="str">
        <x:v>未確認</x:v>
      </x:c>
      <x:c r="U127" s="15" t="str">
        <x:v>要確認</x:v>
      </x:c>
      <x:c r="V127" s="15" t="str">
        <x:v>長野県R7-R11計画掲載。入口・代表点未特定。</x:v>
      </x:c>
      <x:c r="W127" s="15" t="str">
        <x:v>通行可否・ゲート・路面は現地未確認。</x:v>
      </x:c>
      <x:c r="X127" s="15" t="str">
        <x:v>長野県『農山漁村地域整備計画（R7-R11）』 https://www.pref.nagano.lg.jp/ringyo/documents/sinkeikaku2025.pdf</x:v>
      </x:c>
      <x:c r="Y127" s="15" t="str"/>
      <x:c r="Z127" s="15" t="str">
        <x:v>https://www.pref.nagano.lg.jp/ringyo/documents/sinkeikaku2025.pdf</x:v>
      </x:c>
      <x:c r="AA127" s="15" t="str">
        <x:v>2026-07-10</x:v>
      </x:c>
    </x:row>
    <x:row r="128">
      <x:c r="A128" s="15" t="str">
        <x:v>NGN-000127</x:v>
      </x:c>
      <x:c r="B128" s="15" t="str">
        <x:v>松川線</x:v>
      </x:c>
      <x:c r="C128" s="15" t="str">
        <x:v>松川町</x:v>
      </x:c>
      <x:c r="D128" s="15" t="str">
        <x:v>南信</x:v>
      </x:c>
      <x:c r="E128" s="15" t="str">
        <x:v>位置追加調査</x:v>
      </x:c>
      <x:c r="F128" s="15" t="str">
        <x:v>C</x:v>
      </x:c>
      <x:c r="G128" s="15" t="str">
        <x:v>R7-R11</x:v>
      </x:c>
      <x:c r="H128" s="15" t="str">
        <x:v>林道点検診断・保全整備事業</x:v>
      </x:c>
      <x:c r="I128" s="15" t="str">
        <x:v>点検診断・保全整備（点検診断L=335m）</x:v>
      </x:c>
      <x:c r="J128" s="15" t="str"/>
      <x:c r="K128" s="15" t="str"/>
      <x:c r="L128" s="15" t="str">
        <x:v>位置未特定</x:v>
      </x:c>
      <x:c r="M128" s="15" t="str"/>
      <x:c r="N128" s="15" t="str"/>
      <x:c r="O128" s="15" t="str">
        <x:v>なし</x:v>
      </x:c>
      <x:c r="P128" s="15" t="str"/>
      <x:c r="Q128" s="15" t="str"/>
      <x:c r="R128" s="15" t="str"/>
      <x:c r="S128" s="15" t="str"/>
      <x:c r="T128" s="15" t="str">
        <x:v>未確認</x:v>
      </x:c>
      <x:c r="U128" s="15" t="str">
        <x:v>要確認</x:v>
      </x:c>
      <x:c r="V128" s="15" t="str">
        <x:v>長野県R7-R11計画掲載。入口・代表点未特定。</x:v>
      </x:c>
      <x:c r="W128" s="15" t="str">
        <x:v>通行可否・ゲート・路面は現地未確認。</x:v>
      </x:c>
      <x:c r="X128" s="15" t="str">
        <x:v>長野県『農山漁村地域整備計画（R7-R11）』 https://www.pref.nagano.lg.jp/ringyo/documents/sinkeikaku2025.pdf</x:v>
      </x:c>
      <x:c r="Y128" s="15" t="str"/>
      <x:c r="Z128" s="15" t="str">
        <x:v>https://www.pref.nagano.lg.jp/ringyo/documents/sinkeikaku2025.pdf</x:v>
      </x:c>
      <x:c r="AA128" s="15" t="str">
        <x:v>2026-07-10</x:v>
      </x:c>
    </x:row>
    <x:row r="129">
      <x:c r="A129" s="15" t="str">
        <x:v>NGN-000128</x:v>
      </x:c>
      <x:c r="B129" s="15" t="str">
        <x:v>弓矢沢線</x:v>
      </x:c>
      <x:c r="C129" s="15" t="str">
        <x:v>高森町</x:v>
      </x:c>
      <x:c r="D129" s="15" t="str">
        <x:v>南信</x:v>
      </x:c>
      <x:c r="E129" s="15" t="str">
        <x:v>位置追加調査</x:v>
      </x:c>
      <x:c r="F129" s="15" t="str">
        <x:v>C</x:v>
      </x:c>
      <x:c r="G129" s="15" t="str">
        <x:v>R7-R11</x:v>
      </x:c>
      <x:c r="H129" s="15" t="str">
        <x:v>林道点検診断・保全整備事業</x:v>
      </x:c>
      <x:c r="I129" s="15" t="str">
        <x:v>点検診断・保全整備（点検診断L=92m）</x:v>
      </x:c>
      <x:c r="J129" s="15" t="str"/>
      <x:c r="K129" s="15" t="str"/>
      <x:c r="L129" s="15" t="str">
        <x:v>位置未特定</x:v>
      </x:c>
      <x:c r="M129" s="15" t="str"/>
      <x:c r="N129" s="15" t="str"/>
      <x:c r="O129" s="15" t="str">
        <x:v>なし</x:v>
      </x:c>
      <x:c r="P129" s="15" t="str"/>
      <x:c r="Q129" s="15" t="str"/>
      <x:c r="R129" s="15" t="str"/>
      <x:c r="S129" s="15" t="str"/>
      <x:c r="T129" s="15" t="str">
        <x:v>未確認</x:v>
      </x:c>
      <x:c r="U129" s="15" t="str">
        <x:v>要確認</x:v>
      </x:c>
      <x:c r="V129" s="15" t="str">
        <x:v>長野県R7-R11計画掲載。入口・代表点未特定。</x:v>
      </x:c>
      <x:c r="W129" s="15" t="str">
        <x:v>通行可否・ゲート・路面は現地未確認。</x:v>
      </x:c>
      <x:c r="X129" s="15" t="str">
        <x:v>長野県『農山漁村地域整備計画（R7-R11）』 https://www.pref.nagano.lg.jp/ringyo/documents/sinkeikaku2025.pdf</x:v>
      </x:c>
      <x:c r="Y129" s="15" t="str"/>
      <x:c r="Z129" s="15" t="str">
        <x:v>https://www.pref.nagano.lg.jp/ringyo/documents/sinkeikaku2025.pdf</x:v>
      </x:c>
      <x:c r="AA129" s="15" t="str">
        <x:v>2026-07-10</x:v>
      </x:c>
    </x:row>
    <x:row r="130">
      <x:c r="A130" s="15" t="str">
        <x:v>NGN-000129</x:v>
      </x:c>
      <x:c r="B130" s="15" t="str">
        <x:v>忍沢線</x:v>
      </x:c>
      <x:c r="C130" s="15" t="str">
        <x:v>阿智村</x:v>
      </x:c>
      <x:c r="D130" s="15" t="str">
        <x:v>南信</x:v>
      </x:c>
      <x:c r="E130" s="15" t="str">
        <x:v>位置追加調査</x:v>
      </x:c>
      <x:c r="F130" s="15" t="str">
        <x:v>C</x:v>
      </x:c>
      <x:c r="G130" s="15" t="str">
        <x:v>R7-R11</x:v>
      </x:c>
      <x:c r="H130" s="15" t="str">
        <x:v>林道点検診断・保全整備事業</x:v>
      </x:c>
      <x:c r="I130" s="15" t="str">
        <x:v>点検診断・保全整備（点検診断L=76m）</x:v>
      </x:c>
      <x:c r="J130" s="15" t="str"/>
      <x:c r="K130" s="15" t="str"/>
      <x:c r="L130" s="15" t="str">
        <x:v>位置未特定</x:v>
      </x:c>
      <x:c r="M130" s="15" t="str"/>
      <x:c r="N130" s="15" t="str"/>
      <x:c r="O130" s="15" t="str">
        <x:v>なし</x:v>
      </x:c>
      <x:c r="P130" s="15" t="str"/>
      <x:c r="Q130" s="15" t="str"/>
      <x:c r="R130" s="15" t="str"/>
      <x:c r="S130" s="15" t="str"/>
      <x:c r="T130" s="15" t="str">
        <x:v>未確認</x:v>
      </x:c>
      <x:c r="U130" s="15" t="str">
        <x:v>要確認</x:v>
      </x:c>
      <x:c r="V130" s="15" t="str">
        <x:v>長野県R7-R11計画掲載。入口・代表点未特定。</x:v>
      </x:c>
      <x:c r="W130" s="15" t="str">
        <x:v>通行可否・ゲート・路面は現地未確認。</x:v>
      </x:c>
      <x:c r="X130" s="15" t="str">
        <x:v>長野県『農山漁村地域整備計画（R7-R11）』 https://www.pref.nagano.lg.jp/ringyo/documents/sinkeikaku2025.pdf</x:v>
      </x:c>
      <x:c r="Y130" s="15" t="str"/>
      <x:c r="Z130" s="15" t="str">
        <x:v>https://www.pref.nagano.lg.jp/ringyo/documents/sinkeikaku2025.pdf</x:v>
      </x:c>
      <x:c r="AA130" s="15" t="str">
        <x:v>2026-07-10</x:v>
      </x:c>
    </x:row>
    <x:row r="131">
      <x:c r="A131" s="15" t="str">
        <x:v>NGN-000130</x:v>
      </x:c>
      <x:c r="B131" s="15" t="str">
        <x:v>鳥城線</x:v>
      </x:c>
      <x:c r="C131" s="15" t="str">
        <x:v>阿智村</x:v>
      </x:c>
      <x:c r="D131" s="15" t="str">
        <x:v>南信</x:v>
      </x:c>
      <x:c r="E131" s="15" t="str">
        <x:v>位置追加調査</x:v>
      </x:c>
      <x:c r="F131" s="15" t="str">
        <x:v>C</x:v>
      </x:c>
      <x:c r="G131" s="15" t="str">
        <x:v>R7-R11</x:v>
      </x:c>
      <x:c r="H131" s="15" t="str">
        <x:v>林道点検診断・保全整備事業</x:v>
      </x:c>
      <x:c r="I131" s="15" t="str">
        <x:v>点検診断・保全整備（点検診断L=141m）</x:v>
      </x:c>
      <x:c r="J131" s="15" t="str"/>
      <x:c r="K131" s="15" t="str"/>
      <x:c r="L131" s="15" t="str">
        <x:v>位置未特定</x:v>
      </x:c>
      <x:c r="M131" s="15" t="str"/>
      <x:c r="N131" s="15" t="str"/>
      <x:c r="O131" s="15" t="str">
        <x:v>なし</x:v>
      </x:c>
      <x:c r="P131" s="15" t="str"/>
      <x:c r="Q131" s="15" t="str"/>
      <x:c r="R131" s="15" t="str"/>
      <x:c r="S131" s="15" t="str"/>
      <x:c r="T131" s="15" t="str">
        <x:v>未確認</x:v>
      </x:c>
      <x:c r="U131" s="15" t="str">
        <x:v>要確認</x:v>
      </x:c>
      <x:c r="V131" s="15" t="str">
        <x:v>長野県R7-R11計画掲載。入口・代表点未特定。</x:v>
      </x:c>
      <x:c r="W131" s="15" t="str">
        <x:v>通行可否・ゲート・路面は現地未確認。</x:v>
      </x:c>
      <x:c r="X131" s="15" t="str">
        <x:v>長野県『農山漁村地域整備計画（R7-R11）』 https://www.pref.nagano.lg.jp/ringyo/documents/sinkeikaku2025.pdf</x:v>
      </x:c>
      <x:c r="Y131" s="15" t="str"/>
      <x:c r="Z131" s="15" t="str">
        <x:v>https://www.pref.nagano.lg.jp/ringyo/documents/sinkeikaku2025.pdf</x:v>
      </x:c>
      <x:c r="AA131" s="15" t="str">
        <x:v>2026-07-10</x:v>
      </x:c>
    </x:row>
    <x:row r="132">
      <x:c r="A132" s="15" t="str">
        <x:v>NGN-000131</x:v>
      </x:c>
      <x:c r="B132" s="15" t="str">
        <x:v>小河内川線</x:v>
      </x:c>
      <x:c r="C132" s="15" t="str">
        <x:v>天龍村</x:v>
      </x:c>
      <x:c r="D132" s="15" t="str">
        <x:v>南信</x:v>
      </x:c>
      <x:c r="E132" s="15" t="str">
        <x:v>位置追加調査</x:v>
      </x:c>
      <x:c r="F132" s="15" t="str">
        <x:v>C</x:v>
      </x:c>
      <x:c r="G132" s="15" t="str">
        <x:v>R7-R11</x:v>
      </x:c>
      <x:c r="H132" s="15" t="str">
        <x:v>林道点検診断・保全整備事業</x:v>
      </x:c>
      <x:c r="I132" s="15" t="str">
        <x:v>点検診断・保全整備（点検診断L=463m）</x:v>
      </x:c>
      <x:c r="J132" s="15" t="str"/>
      <x:c r="K132" s="15" t="str"/>
      <x:c r="L132" s="15" t="str">
        <x:v>位置未特定</x:v>
      </x:c>
      <x:c r="M132" s="15" t="str"/>
      <x:c r="N132" s="15" t="str"/>
      <x:c r="O132" s="15" t="str">
        <x:v>なし</x:v>
      </x:c>
      <x:c r="P132" s="15" t="str"/>
      <x:c r="Q132" s="15" t="str"/>
      <x:c r="R132" s="15" t="str"/>
      <x:c r="S132" s="15" t="str"/>
      <x:c r="T132" s="15" t="str">
        <x:v>未確認</x:v>
      </x:c>
      <x:c r="U132" s="15" t="str">
        <x:v>要確認</x:v>
      </x:c>
      <x:c r="V132" s="15" t="str">
        <x:v>長野県R7-R11計画掲載。入口・代表点未特定。</x:v>
      </x:c>
      <x:c r="W132" s="15" t="str">
        <x:v>通行可否・ゲート・路面は現地未確認。同名OSM 12件は市町村不一致で除外。</x:v>
      </x:c>
      <x:c r="X132" s="15" t="str">
        <x:v>長野県『農山漁村地域整備計画（R7-R11）』 https://www.pref.nagano.lg.jp/ringyo/documents/sinkeikaku2025.pdf</x:v>
      </x:c>
      <x:c r="Y132" s="15" t="str"/>
      <x:c r="Z132" s="15" t="str">
        <x:v>https://www.pref.nagano.lg.jp/ringyo/documents/sinkeikaku2025.pdf</x:v>
      </x:c>
      <x:c r="AA132" s="15" t="str">
        <x:v>2026-07-10</x:v>
      </x:c>
    </x:row>
    <x:row r="133">
      <x:c r="A133" s="15" t="str">
        <x:v>NGN-000132</x:v>
      </x:c>
      <x:c r="B133" s="15" t="str">
        <x:v>外山線</x:v>
      </x:c>
      <x:c r="C133" s="15" t="str">
        <x:v>根羽村</x:v>
      </x:c>
      <x:c r="D133" s="15" t="str">
        <x:v>南信</x:v>
      </x:c>
      <x:c r="E133" s="15" t="str">
        <x:v>位置追加調査</x:v>
      </x:c>
      <x:c r="F133" s="15" t="str">
        <x:v>C</x:v>
      </x:c>
      <x:c r="G133" s="15" t="str">
        <x:v>R7-R11</x:v>
      </x:c>
      <x:c r="H133" s="15" t="str">
        <x:v>林道点検診断・保全整備事業</x:v>
      </x:c>
      <x:c r="I133" s="15" t="str">
        <x:v>点検診断・保全整備（点検診断L=214m）</x:v>
      </x:c>
      <x:c r="J133" s="15" t="str"/>
      <x:c r="K133" s="15" t="str"/>
      <x:c r="L133" s="15" t="str">
        <x:v>位置未特定</x:v>
      </x:c>
      <x:c r="M133" s="15" t="str"/>
      <x:c r="N133" s="15" t="str"/>
      <x:c r="O133" s="15" t="str">
        <x:v>なし</x:v>
      </x:c>
      <x:c r="P133" s="15" t="str"/>
      <x:c r="Q133" s="15" t="str"/>
      <x:c r="R133" s="15" t="str"/>
      <x:c r="S133" s="15" t="str"/>
      <x:c r="T133" s="15" t="str">
        <x:v>未確認</x:v>
      </x:c>
      <x:c r="U133" s="15" t="str">
        <x:v>要確認</x:v>
      </x:c>
      <x:c r="V133" s="15" t="str">
        <x:v>長野県R7-R11計画掲載。入口・代表点未特定。</x:v>
      </x:c>
      <x:c r="W133" s="15" t="str">
        <x:v>通行可否・ゲート・路面は現地未確認。</x:v>
      </x:c>
      <x:c r="X133" s="15" t="str">
        <x:v>長野県『農山漁村地域整備計画（R7-R11）』 https://www.pref.nagano.lg.jp/ringyo/documents/sinkeikaku2025.pdf</x:v>
      </x:c>
      <x:c r="Y133" s="15" t="str"/>
      <x:c r="Z133" s="15" t="str">
        <x:v>https://www.pref.nagano.lg.jp/ringyo/documents/sinkeikaku2025.pdf</x:v>
      </x:c>
      <x:c r="AA133" s="15" t="str">
        <x:v>2026-07-10</x:v>
      </x:c>
    </x:row>
    <x:row r="134">
      <x:c r="A134" s="15" t="str">
        <x:v>NGN-000133</x:v>
      </x:c>
      <x:c r="B134" s="15" t="str">
        <x:v>極楽峠線</x:v>
      </x:c>
      <x:c r="C134" s="15" t="str">
        <x:v>下條村</x:v>
      </x:c>
      <x:c r="D134" s="15" t="str">
        <x:v>南信</x:v>
      </x:c>
      <x:c r="E134" s="15" t="str">
        <x:v>次点候補</x:v>
      </x:c>
      <x:c r="F134" s="15" t="str">
        <x:v>B</x:v>
      </x:c>
      <x:c r="G134" s="15" t="str">
        <x:v>R7-R11</x:v>
      </x:c>
      <x:c r="H134" s="15" t="str">
        <x:v>林道点検診断・保全整備事業</x:v>
      </x:c>
      <x:c r="I134" s="15" t="str">
        <x:v>点検診断・保全整備（点検診断L=204m）</x:v>
      </x:c>
      <x:c r="J134" s="15" t="str"/>
      <x:c r="K134" s="15" t="str"/>
      <x:c r="L134" s="15" t="str">
        <x:v>OSM名前一致代表点</x:v>
      </x:c>
      <x:c r="M134" s="15" t="str">
        <x:v>35.3831122</x:v>
      </x:c>
      <x:c r="N134" s="15" t="str">
        <x:v>137.7331861</x:v>
      </x:c>
      <x:c r="O134" s="15" t="str">
        <x:v>あり</x:v>
      </x:c>
      <x:c r="P134" s="15" t="str">
        <x:v>unclassified</x:v>
      </x:c>
      <x:c r="Q134" s="15" t="str"/>
      <x:c r="R134" s="15" t="str">
        <x:v>grade1</x:v>
      </x:c>
      <x:c r="S134" s="15" t="str">
        <x:v>112754871/122733725/122733936/122734139/122734219</x:v>
      </x:c>
      <x:c r="T134" s="15" t="str">
        <x:v>中</x:v>
      </x:c>
      <x:c r="U134" s="15" t="str">
        <x:v>要確認</x:v>
      </x:c>
      <x:c r="V134" s="15" t="str">
        <x:v>長野県R7-R11計画掲載。OSM名前一致を市町村境界で確認。</x:v>
      </x:c>
      <x:c r="W134" s="15" t="str">
        <x:v>通行可否・ゲート・路面は現地未確認。</x:v>
      </x:c>
      <x:c r="X134" s="15" t="str">
        <x:v>長野県『農山漁村地域整備計画（R7-R11）』 https://www.pref.nagano.lg.jp/ringyo/documents/sinkeikaku2025.pdf</x:v>
      </x:c>
      <x:c r="Y134" s="15" t="str">
        <x:v>OpenStreetMap way 112754871（名前一致・市町村境界確認済み）</x:v>
      </x:c>
      <x:c r="Z134" s="15" t="str">
        <x:v>https://www.pref.nagano.lg.jp/ringyo/documents/sinkeikaku2025.pdf</x:v>
      </x:c>
      <x:c r="AA134" s="15" t="str">
        <x:v>2026-07-10</x:v>
      </x:c>
    </x:row>
    <x:row r="135">
      <x:c r="A135" s="15" t="str">
        <x:v>NGN-000134</x:v>
      </x:c>
      <x:c r="B135" s="15" t="str">
        <x:v>大島氏乗線</x:v>
      </x:c>
      <x:c r="C135" s="15" t="str">
        <x:v>喬木村</x:v>
      </x:c>
      <x:c r="D135" s="15" t="str">
        <x:v>南信</x:v>
      </x:c>
      <x:c r="E135" s="15" t="str">
        <x:v>次点候補</x:v>
      </x:c>
      <x:c r="F135" s="15" t="str">
        <x:v>B</x:v>
      </x:c>
      <x:c r="G135" s="15" t="str">
        <x:v>R7-R11</x:v>
      </x:c>
      <x:c r="H135" s="15" t="str">
        <x:v>林道点検診断・保全整備事業</x:v>
      </x:c>
      <x:c r="I135" s="15" t="str">
        <x:v>点検診断・保全整備（点検診断L=236m）</x:v>
      </x:c>
      <x:c r="J135" s="15" t="str"/>
      <x:c r="K135" s="15" t="str"/>
      <x:c r="L135" s="15" t="str">
        <x:v>OSM名前一致代表点</x:v>
      </x:c>
      <x:c r="M135" s="15" t="str">
        <x:v>35.4876066</x:v>
      </x:c>
      <x:c r="N135" s="15" t="str">
        <x:v>137.9548843</x:v>
      </x:c>
      <x:c r="O135" s="15" t="str">
        <x:v>あり</x:v>
      </x:c>
      <x:c r="P135" s="15" t="str">
        <x:v>unclassified</x:v>
      </x:c>
      <x:c r="Q135" s="15" t="str"/>
      <x:c r="R135" s="15" t="str"/>
      <x:c r="S135" s="15" t="str">
        <x:v>112927668/112928183/1055868709/1055868710/1055869086/1055869087</x:v>
      </x:c>
      <x:c r="T135" s="15" t="str">
        <x:v>中</x:v>
      </x:c>
      <x:c r="U135" s="15" t="str">
        <x:v>要確認</x:v>
      </x:c>
      <x:c r="V135" s="15" t="str">
        <x:v>長野県R7-R11計画掲載。OSM名前一致を市町村境界で確認。</x:v>
      </x:c>
      <x:c r="W135" s="15" t="str">
        <x:v>通行可否・ゲート・路面は現地未確認。</x:v>
      </x:c>
      <x:c r="X135" s="15" t="str">
        <x:v>長野県『農山漁村地域整備計画（R7-R11）』 https://www.pref.nagano.lg.jp/ringyo/documents/sinkeikaku2025.pdf</x:v>
      </x:c>
      <x:c r="Y135" s="15" t="str">
        <x:v>OpenStreetMap way 112927668（名前一致・市町村境界確認済み）</x:v>
      </x:c>
      <x:c r="Z135" s="15" t="str">
        <x:v>https://www.pref.nagano.lg.jp/ringyo/documents/sinkeikaku2025.pdf</x:v>
      </x:c>
      <x:c r="AA135" s="15" t="str">
        <x:v>2026-07-10</x:v>
      </x:c>
    </x:row>
    <x:row r="136">
      <x:c r="A136" s="15" t="str">
        <x:v>NGN-000135</x:v>
      </x:c>
      <x:c r="B136" s="15" t="str">
        <x:v>大島虻川線</x:v>
      </x:c>
      <x:c r="C136" s="15" t="str">
        <x:v>豊丘村</x:v>
      </x:c>
      <x:c r="D136" s="15" t="str">
        <x:v>南信</x:v>
      </x:c>
      <x:c r="E136" s="15" t="str">
        <x:v>位置追加調査</x:v>
      </x:c>
      <x:c r="F136" s="15" t="str">
        <x:v>C</x:v>
      </x:c>
      <x:c r="G136" s="15" t="str">
        <x:v>R7-R11</x:v>
      </x:c>
      <x:c r="H136" s="15" t="str">
        <x:v>林道点検診断・保全整備事業</x:v>
      </x:c>
      <x:c r="I136" s="15" t="str">
        <x:v>点検診断・保全整備（点検診断L=78m） | 点検診断・保全整備（保全整備L=15m）</x:v>
      </x:c>
      <x:c r="J136" s="15" t="str"/>
      <x:c r="K136" s="15" t="str"/>
      <x:c r="L136" s="15" t="str">
        <x:v>位置未特定</x:v>
      </x:c>
      <x:c r="M136" s="15" t="str"/>
      <x:c r="N136" s="15" t="str"/>
      <x:c r="O136" s="15" t="str">
        <x:v>なし</x:v>
      </x:c>
      <x:c r="P136" s="15" t="str"/>
      <x:c r="Q136" s="15" t="str"/>
      <x:c r="R136" s="15" t="str"/>
      <x:c r="S136" s="15" t="str"/>
      <x:c r="T136" s="15" t="str">
        <x:v>未確認</x:v>
      </x:c>
      <x:c r="U136" s="15" t="str">
        <x:v>要確認</x:v>
      </x:c>
      <x:c r="V136" s="15" t="str">
        <x:v>長野県R7-R11計画掲載。入口・代表点未特定。</x:v>
      </x:c>
      <x:c r="W136" s="15" t="str">
        <x:v>通行可否・ゲート・路面は現地未確認。</x:v>
      </x:c>
      <x:c r="X136" s="15" t="str">
        <x:v>長野県『農山漁村地域整備計画（R7-R11）』 https://www.pref.nagano.lg.jp/ringyo/documents/sinkeikaku2025.pdf</x:v>
      </x:c>
      <x:c r="Y136" s="15" t="str"/>
      <x:c r="Z136" s="15" t="str">
        <x:v>https://www.pref.nagano.lg.jp/ringyo/documents/sinkeikaku2025.pdf</x:v>
      </x:c>
      <x:c r="AA136" s="15" t="str">
        <x:v>2026-07-10</x:v>
      </x:c>
    </x:row>
    <x:row r="137">
      <x:c r="A137" s="15" t="str">
        <x:v>NGN-000136</x:v>
      </x:c>
      <x:c r="B137" s="15" t="str">
        <x:v>郷士沢線</x:v>
      </x:c>
      <x:c r="C137" s="15" t="str">
        <x:v>豊丘村</x:v>
      </x:c>
      <x:c r="D137" s="15" t="str">
        <x:v>南信</x:v>
      </x:c>
      <x:c r="E137" s="15" t="str">
        <x:v>位置追加調査</x:v>
      </x:c>
      <x:c r="F137" s="15" t="str">
        <x:v>C</x:v>
      </x:c>
      <x:c r="G137" s="15" t="str">
        <x:v>R7-R11</x:v>
      </x:c>
      <x:c r="H137" s="15" t="str">
        <x:v>林道点検診断・保全整備事業</x:v>
      </x:c>
      <x:c r="I137" s="15" t="str">
        <x:v>点検診断・保全整備（点検診断L=11m）</x:v>
      </x:c>
      <x:c r="J137" s="15" t="str"/>
      <x:c r="K137" s="15" t="str"/>
      <x:c r="L137" s="15" t="str">
        <x:v>位置未特定</x:v>
      </x:c>
      <x:c r="M137" s="15" t="str"/>
      <x:c r="N137" s="15" t="str"/>
      <x:c r="O137" s="15" t="str">
        <x:v>なし</x:v>
      </x:c>
      <x:c r="P137" s="15" t="str"/>
      <x:c r="Q137" s="15" t="str"/>
      <x:c r="R137" s="15" t="str"/>
      <x:c r="S137" s="15" t="str"/>
      <x:c r="T137" s="15" t="str">
        <x:v>未確認</x:v>
      </x:c>
      <x:c r="U137" s="15" t="str">
        <x:v>要確認</x:v>
      </x:c>
      <x:c r="V137" s="15" t="str">
        <x:v>長野県R7-R11計画掲載。入口・代表点未特定。</x:v>
      </x:c>
      <x:c r="W137" s="15" t="str">
        <x:v>通行可否・ゲート・路面は現地未確認。</x:v>
      </x:c>
      <x:c r="X137" s="15" t="str">
        <x:v>長野県『農山漁村地域整備計画（R7-R11）』 https://www.pref.nagano.lg.jp/ringyo/documents/sinkeikaku2025.pdf</x:v>
      </x:c>
      <x:c r="Y137" s="15" t="str"/>
      <x:c r="Z137" s="15" t="str">
        <x:v>https://www.pref.nagano.lg.jp/ringyo/documents/sinkeikaku2025.pdf</x:v>
      </x:c>
      <x:c r="AA137" s="15" t="str">
        <x:v>2026-07-10</x:v>
      </x:c>
    </x:row>
    <x:row r="138">
      <x:c r="A138" s="15" t="str">
        <x:v>NGN-000137</x:v>
      </x:c>
      <x:c r="B138" s="15" t="str">
        <x:v>大畑線</x:v>
      </x:c>
      <x:c r="C138" s="15" t="str">
        <x:v>上松町</x:v>
      </x:c>
      <x:c r="D138" s="15" t="str">
        <x:v>中信</x:v>
      </x:c>
      <x:c r="E138" s="15" t="str">
        <x:v>位置追加調査</x:v>
      </x:c>
      <x:c r="F138" s="15" t="str">
        <x:v>C</x:v>
      </x:c>
      <x:c r="G138" s="15" t="str">
        <x:v>R7-R11</x:v>
      </x:c>
      <x:c r="H138" s="15" t="str">
        <x:v>林道点検診断・保全整備事業</x:v>
      </x:c>
      <x:c r="I138" s="15" t="str">
        <x:v>点検診断・保全整備（保全整備L=18m） | 点検診断・保全整備（点検診断L=226m）</x:v>
      </x:c>
      <x:c r="J138" s="15" t="str"/>
      <x:c r="K138" s="15" t="str"/>
      <x:c r="L138" s="15" t="str">
        <x:v>位置未特定</x:v>
      </x:c>
      <x:c r="M138" s="15" t="str"/>
      <x:c r="N138" s="15" t="str"/>
      <x:c r="O138" s="15" t="str">
        <x:v>なし</x:v>
      </x:c>
      <x:c r="P138" s="15" t="str"/>
      <x:c r="Q138" s="15" t="str"/>
      <x:c r="R138" s="15" t="str"/>
      <x:c r="S138" s="15" t="str"/>
      <x:c r="T138" s="15" t="str">
        <x:v>未確認</x:v>
      </x:c>
      <x:c r="U138" s="15" t="str">
        <x:v>要確認</x:v>
      </x:c>
      <x:c r="V138" s="15" t="str">
        <x:v>長野県R7-R11計画掲載。入口・代表点未特定。</x:v>
      </x:c>
      <x:c r="W138" s="15" t="str">
        <x:v>通行可否・ゲート・路面は現地未確認。</x:v>
      </x:c>
      <x:c r="X138" s="15" t="str">
        <x:v>長野県『農山漁村地域整備計画（R7-R11）』 https://www.pref.nagano.lg.jp/ringyo/documents/sinkeikaku2025.pdf</x:v>
      </x:c>
      <x:c r="Y138" s="15" t="str"/>
      <x:c r="Z138" s="15" t="str">
        <x:v>https://www.pref.nagano.lg.jp/ringyo/documents/sinkeikaku2025.pdf</x:v>
      </x:c>
      <x:c r="AA138" s="15" t="str">
        <x:v>2026-07-10</x:v>
      </x:c>
    </x:row>
    <x:row r="139">
      <x:c r="A139" s="15" t="str">
        <x:v>NGN-000138</x:v>
      </x:c>
      <x:c r="B139" s="15" t="str">
        <x:v>川向梛野線</x:v>
      </x:c>
      <x:c r="C139" s="15" t="str">
        <x:v>南木曽町</x:v>
      </x:c>
      <x:c r="D139" s="15" t="str">
        <x:v>中信</x:v>
      </x:c>
      <x:c r="E139" s="15" t="str">
        <x:v>位置追加調査</x:v>
      </x:c>
      <x:c r="F139" s="15" t="str">
        <x:v>C</x:v>
      </x:c>
      <x:c r="G139" s="15" t="str">
        <x:v>R7-R11</x:v>
      </x:c>
      <x:c r="H139" s="15" t="str">
        <x:v>林道点検診断・保全整備事業</x:v>
      </x:c>
      <x:c r="I139" s="15" t="str">
        <x:v>点検診断・保全整備（点検診断L=745m） | 点検診断・保全整備（点検診断L=188m）</x:v>
      </x:c>
      <x:c r="J139" s="15" t="str"/>
      <x:c r="K139" s="15" t="str"/>
      <x:c r="L139" s="15" t="str">
        <x:v>位置未特定</x:v>
      </x:c>
      <x:c r="M139" s="15" t="str"/>
      <x:c r="N139" s="15" t="str"/>
      <x:c r="O139" s="15" t="str">
        <x:v>なし</x:v>
      </x:c>
      <x:c r="P139" s="15" t="str"/>
      <x:c r="Q139" s="15" t="str"/>
      <x:c r="R139" s="15" t="str"/>
      <x:c r="S139" s="15" t="str"/>
      <x:c r="T139" s="15" t="str">
        <x:v>未確認</x:v>
      </x:c>
      <x:c r="U139" s="15" t="str">
        <x:v>要確認</x:v>
      </x:c>
      <x:c r="V139" s="15" t="str">
        <x:v>長野県R7-R11計画掲載。入口・代表点未特定。</x:v>
      </x:c>
      <x:c r="W139" s="15" t="str">
        <x:v>通行可否・ゲート・路面は現地未確認。</x:v>
      </x:c>
      <x:c r="X139" s="15" t="str">
        <x:v>長野県『農山漁村地域整備計画（R7-R11）』 https://www.pref.nagano.lg.jp/ringyo/documents/sinkeikaku2025.pdf</x:v>
      </x:c>
      <x:c r="Y139" s="15" t="str"/>
      <x:c r="Z139" s="15" t="str">
        <x:v>https://www.pref.nagano.lg.jp/ringyo/documents/sinkeikaku2025.pdf</x:v>
      </x:c>
      <x:c r="AA139" s="15" t="str">
        <x:v>2026-07-10</x:v>
      </x:c>
    </x:row>
    <x:row r="140">
      <x:c r="A140" s="15" t="str">
        <x:v>NGN-000139</x:v>
      </x:c>
      <x:c r="B140" s="15" t="str">
        <x:v>長根線</x:v>
      </x:c>
      <x:c r="C140" s="15" t="str">
        <x:v>南木曽町</x:v>
      </x:c>
      <x:c r="D140" s="15" t="str">
        <x:v>中信</x:v>
      </x:c>
      <x:c r="E140" s="15" t="str">
        <x:v>位置追加調査</x:v>
      </x:c>
      <x:c r="F140" s="15" t="str">
        <x:v>C</x:v>
      </x:c>
      <x:c r="G140" s="15" t="str">
        <x:v>R7-R11</x:v>
      </x:c>
      <x:c r="H140" s="15" t="str">
        <x:v>林道点検診断・保全整備事業</x:v>
      </x:c>
      <x:c r="I140" s="15" t="str">
        <x:v>点検診断・保全整備（点検診断L=160m）</x:v>
      </x:c>
      <x:c r="J140" s="15" t="str"/>
      <x:c r="K140" s="15" t="str"/>
      <x:c r="L140" s="15" t="str">
        <x:v>位置未特定</x:v>
      </x:c>
      <x:c r="M140" s="15" t="str"/>
      <x:c r="N140" s="15" t="str"/>
      <x:c r="O140" s="15" t="str">
        <x:v>なし</x:v>
      </x:c>
      <x:c r="P140" s="15" t="str"/>
      <x:c r="Q140" s="15" t="str"/>
      <x:c r="R140" s="15" t="str"/>
      <x:c r="S140" s="15" t="str"/>
      <x:c r="T140" s="15" t="str">
        <x:v>未確認</x:v>
      </x:c>
      <x:c r="U140" s="15" t="str">
        <x:v>要確認</x:v>
      </x:c>
      <x:c r="V140" s="15" t="str">
        <x:v>長野県R7-R11計画掲載。入口・代表点未特定。</x:v>
      </x:c>
      <x:c r="W140" s="15" t="str">
        <x:v>通行可否・ゲート・路面は現地未確認。</x:v>
      </x:c>
      <x:c r="X140" s="15" t="str">
        <x:v>長野県『農山漁村地域整備計画（R7-R11）』 https://www.pref.nagano.lg.jp/ringyo/documents/sinkeikaku2025.pdf</x:v>
      </x:c>
      <x:c r="Y140" s="15" t="str"/>
      <x:c r="Z140" s="15" t="str">
        <x:v>https://www.pref.nagano.lg.jp/ringyo/documents/sinkeikaku2025.pdf</x:v>
      </x:c>
      <x:c r="AA140" s="15" t="str">
        <x:v>2026-07-10</x:v>
      </x:c>
    </x:row>
    <x:row r="141">
      <x:c r="A141" s="15" t="str">
        <x:v>NGN-000140</x:v>
      </x:c>
      <x:c r="B141" s="15" t="str">
        <x:v>洞ノ沢線</x:v>
      </x:c>
      <x:c r="C141" s="15" t="str">
        <x:v>木曽町</x:v>
      </x:c>
      <x:c r="D141" s="15" t="str">
        <x:v>中信</x:v>
      </x:c>
      <x:c r="E141" s="15" t="str">
        <x:v>位置追加調査</x:v>
      </x:c>
      <x:c r="F141" s="15" t="str">
        <x:v>C</x:v>
      </x:c>
      <x:c r="G141" s="15" t="str">
        <x:v>R7-R11</x:v>
      </x:c>
      <x:c r="H141" s="15" t="str">
        <x:v>林道点検診断・保全整備事業</x:v>
      </x:c>
      <x:c r="I141" s="15" t="str">
        <x:v>点検診断・保全整備（点検診断L=132m）</x:v>
      </x:c>
      <x:c r="J141" s="15" t="str"/>
      <x:c r="K141" s="15" t="str"/>
      <x:c r="L141" s="15" t="str">
        <x:v>位置未特定</x:v>
      </x:c>
      <x:c r="M141" s="15" t="str"/>
      <x:c r="N141" s="15" t="str"/>
      <x:c r="O141" s="15" t="str">
        <x:v>なし</x:v>
      </x:c>
      <x:c r="P141" s="15" t="str"/>
      <x:c r="Q141" s="15" t="str"/>
      <x:c r="R141" s="15" t="str"/>
      <x:c r="S141" s="15" t="str"/>
      <x:c r="T141" s="15" t="str">
        <x:v>未確認</x:v>
      </x:c>
      <x:c r="U141" s="15" t="str">
        <x:v>要確認</x:v>
      </x:c>
      <x:c r="V141" s="15" t="str">
        <x:v>長野県R7-R11計画掲載。入口・代表点未特定。</x:v>
      </x:c>
      <x:c r="W141" s="15" t="str">
        <x:v>通行可否・ゲート・路面は現地未確認。</x:v>
      </x:c>
      <x:c r="X141" s="15" t="str">
        <x:v>長野県『農山漁村地域整備計画（R7-R11）』 https://www.pref.nagano.lg.jp/ringyo/documents/sinkeikaku2025.pdf</x:v>
      </x:c>
      <x:c r="Y141" s="15" t="str"/>
      <x:c r="Z141" s="15" t="str">
        <x:v>https://www.pref.nagano.lg.jp/ringyo/documents/sinkeikaku2025.pdf</x:v>
      </x:c>
      <x:c r="AA141" s="15" t="str">
        <x:v>2026-07-10</x:v>
      </x:c>
    </x:row>
    <x:row r="142">
      <x:c r="A142" s="15" t="str">
        <x:v>NGN-000141</x:v>
      </x:c>
      <x:c r="B142" s="15" t="str">
        <x:v>東又線</x:v>
      </x:c>
      <x:c r="C142" s="15" t="str">
        <x:v>木曽町</x:v>
      </x:c>
      <x:c r="D142" s="15" t="str">
        <x:v>中信</x:v>
      </x:c>
      <x:c r="E142" s="15" t="str">
        <x:v>位置追加調査</x:v>
      </x:c>
      <x:c r="F142" s="15" t="str">
        <x:v>C</x:v>
      </x:c>
      <x:c r="G142" s="15" t="str">
        <x:v>R7-R11</x:v>
      </x:c>
      <x:c r="H142" s="15" t="str">
        <x:v>林道点検診断・保全整備事業</x:v>
      </x:c>
      <x:c r="I142" s="15" t="str">
        <x:v>点検診断・保全整備（保全整備L=5m）</x:v>
      </x:c>
      <x:c r="J142" s="15" t="str"/>
      <x:c r="K142" s="15" t="str"/>
      <x:c r="L142" s="15" t="str">
        <x:v>位置未特定</x:v>
      </x:c>
      <x:c r="M142" s="15" t="str"/>
      <x:c r="N142" s="15" t="str"/>
      <x:c r="O142" s="15" t="str">
        <x:v>なし</x:v>
      </x:c>
      <x:c r="P142" s="15" t="str"/>
      <x:c r="Q142" s="15" t="str"/>
      <x:c r="R142" s="15" t="str"/>
      <x:c r="S142" s="15" t="str"/>
      <x:c r="T142" s="15" t="str">
        <x:v>未確認</x:v>
      </x:c>
      <x:c r="U142" s="15" t="str">
        <x:v>要確認</x:v>
      </x:c>
      <x:c r="V142" s="15" t="str">
        <x:v>長野県R7-R11計画掲載。入口・代表点未特定。</x:v>
      </x:c>
      <x:c r="W142" s="15" t="str">
        <x:v>通行可否・ゲート・路面は現地未確認。</x:v>
      </x:c>
      <x:c r="X142" s="15" t="str">
        <x:v>長野県『農山漁村地域整備計画（R7-R11）』 https://www.pref.nagano.lg.jp/ringyo/documents/sinkeikaku2025.pdf</x:v>
      </x:c>
      <x:c r="Y142" s="15" t="str"/>
      <x:c r="Z142" s="15" t="str">
        <x:v>https://www.pref.nagano.lg.jp/ringyo/documents/sinkeikaku2025.pdf</x:v>
      </x:c>
      <x:c r="AA142" s="15" t="str">
        <x:v>2026-07-10</x:v>
      </x:c>
    </x:row>
    <x:row r="143">
      <x:c r="A143" s="15" t="str">
        <x:v>NGN-000142</x:v>
      </x:c>
      <x:c r="B143" s="15" t="str">
        <x:v>小曽部線</x:v>
      </x:c>
      <x:c r="C143" s="15" t="str">
        <x:v>塩尻市</x:v>
      </x:c>
      <x:c r="D143" s="15" t="str">
        <x:v>中信</x:v>
      </x:c>
      <x:c r="E143" s="15" t="str">
        <x:v>位置追加調査</x:v>
      </x:c>
      <x:c r="F143" s="15" t="str">
        <x:v>C</x:v>
      </x:c>
      <x:c r="G143" s="15" t="str">
        <x:v>R7-R11</x:v>
      </x:c>
      <x:c r="H143" s="15" t="str">
        <x:v>林道点検診断・保全整備事業</x:v>
      </x:c>
      <x:c r="I143" s="15" t="str">
        <x:v>点検診断・保全整備（保全整備L=7m）</x:v>
      </x:c>
      <x:c r="J143" s="15" t="str"/>
      <x:c r="K143" s="15" t="str"/>
      <x:c r="L143" s="15" t="str">
        <x:v>位置未特定</x:v>
      </x:c>
      <x:c r="M143" s="15" t="str"/>
      <x:c r="N143" s="15" t="str"/>
      <x:c r="O143" s="15" t="str">
        <x:v>なし</x:v>
      </x:c>
      <x:c r="P143" s="15" t="str"/>
      <x:c r="Q143" s="15" t="str"/>
      <x:c r="R143" s="15" t="str"/>
      <x:c r="S143" s="15" t="str"/>
      <x:c r="T143" s="15" t="str">
        <x:v>未確認</x:v>
      </x:c>
      <x:c r="U143" s="15" t="str">
        <x:v>要確認</x:v>
      </x:c>
      <x:c r="V143" s="15" t="str">
        <x:v>長野県R7-R11計画掲載。入口・代表点未特定。</x:v>
      </x:c>
      <x:c r="W143" s="15" t="str">
        <x:v>通行可否・ゲート・路面は現地未確認。</x:v>
      </x:c>
      <x:c r="X143" s="15" t="str">
        <x:v>長野県『農山漁村地域整備計画（R7-R11）』 https://www.pref.nagano.lg.jp/ringyo/documents/sinkeikaku2025.pdf</x:v>
      </x:c>
      <x:c r="Y143" s="15" t="str"/>
      <x:c r="Z143" s="15" t="str">
        <x:v>https://www.pref.nagano.lg.jp/ringyo/documents/sinkeikaku2025.pdf</x:v>
      </x:c>
      <x:c r="AA143" s="15" t="str">
        <x:v>2026-07-10</x:v>
      </x:c>
    </x:row>
    <x:row r="144">
      <x:c r="A144" s="15" t="str">
        <x:v>NGN-000143</x:v>
      </x:c>
      <x:c r="B144" s="15" t="str">
        <x:v>栃平線</x:v>
      </x:c>
      <x:c r="C144" s="15" t="str">
        <x:v>筑北村</x:v>
      </x:c>
      <x:c r="D144" s="15" t="str">
        <x:v>中信</x:v>
      </x:c>
      <x:c r="E144" s="15" t="str">
        <x:v>位置追加調査</x:v>
      </x:c>
      <x:c r="F144" s="15" t="str">
        <x:v>C</x:v>
      </x:c>
      <x:c r="G144" s="15" t="str">
        <x:v>R7-R11</x:v>
      </x:c>
      <x:c r="H144" s="15" t="str">
        <x:v>林道点検診断・保全整備事業</x:v>
      </x:c>
      <x:c r="I144" s="15" t="str">
        <x:v>点検診断・保全整備（点検診断L=86m）</x:v>
      </x:c>
      <x:c r="J144" s="15" t="str"/>
      <x:c r="K144" s="15" t="str"/>
      <x:c r="L144" s="15" t="str">
        <x:v>位置未特定</x:v>
      </x:c>
      <x:c r="M144" s="15" t="str"/>
      <x:c r="N144" s="15" t="str"/>
      <x:c r="O144" s="15" t="str">
        <x:v>なし</x:v>
      </x:c>
      <x:c r="P144" s="15" t="str"/>
      <x:c r="Q144" s="15" t="str"/>
      <x:c r="R144" s="15" t="str"/>
      <x:c r="S144" s="15" t="str"/>
      <x:c r="T144" s="15" t="str">
        <x:v>未確認</x:v>
      </x:c>
      <x:c r="U144" s="15" t="str">
        <x:v>要確認</x:v>
      </x:c>
      <x:c r="V144" s="15" t="str">
        <x:v>長野県R7-R11計画掲載。入口・代表点未特定。</x:v>
      </x:c>
      <x:c r="W144" s="15" t="str">
        <x:v>通行可否・ゲート・路面は現地未確認。</x:v>
      </x:c>
      <x:c r="X144" s="15" t="str">
        <x:v>長野県『農山漁村地域整備計画（R7-R11）』 https://www.pref.nagano.lg.jp/ringyo/documents/sinkeikaku2025.pdf</x:v>
      </x:c>
      <x:c r="Y144" s="15" t="str"/>
      <x:c r="Z144" s="15" t="str">
        <x:v>https://www.pref.nagano.lg.jp/ringyo/documents/sinkeikaku2025.pdf</x:v>
      </x:c>
      <x:c r="AA144" s="15" t="str">
        <x:v>2026-07-10</x:v>
      </x:c>
    </x:row>
    <x:row r="145">
      <x:c r="A145" s="15" t="str">
        <x:v>NGN-000144</x:v>
      </x:c>
      <x:c r="B145" s="15" t="str">
        <x:v>上和桐山線</x:v>
      </x:c>
      <x:c r="C145" s="15" t="str">
        <x:v>小川村</x:v>
      </x:c>
      <x:c r="D145" s="15" t="str">
        <x:v>北信</x:v>
      </x:c>
      <x:c r="E145" s="15" t="str">
        <x:v>位置追加調査</x:v>
      </x:c>
      <x:c r="F145" s="15" t="str">
        <x:v>C</x:v>
      </x:c>
      <x:c r="G145" s="15" t="str">
        <x:v>R7-R11</x:v>
      </x:c>
      <x:c r="H145" s="15" t="str">
        <x:v>林道点検診断・保全整備事業</x:v>
      </x:c>
      <x:c r="I145" s="15" t="str">
        <x:v>点検診断・保全整備（点検診断L=28m）</x:v>
      </x:c>
      <x:c r="J145" s="15" t="str"/>
      <x:c r="K145" s="15" t="str"/>
      <x:c r="L145" s="15" t="str">
        <x:v>位置未特定</x:v>
      </x:c>
      <x:c r="M145" s="15" t="str"/>
      <x:c r="N145" s="15" t="str"/>
      <x:c r="O145" s="15" t="str">
        <x:v>なし</x:v>
      </x:c>
      <x:c r="P145" s="15" t="str"/>
      <x:c r="Q145" s="15" t="str"/>
      <x:c r="R145" s="15" t="str"/>
      <x:c r="S145" s="15" t="str"/>
      <x:c r="T145" s="15" t="str">
        <x:v>未確認</x:v>
      </x:c>
      <x:c r="U145" s="15" t="str">
        <x:v>要確認</x:v>
      </x:c>
      <x:c r="V145" s="15" t="str">
        <x:v>長野県R7-R11計画掲載。入口・代表点未特定。</x:v>
      </x:c>
      <x:c r="W145" s="15" t="str">
        <x:v>通行可否・ゲート・路面は現地未確認。</x:v>
      </x:c>
      <x:c r="X145" s="15" t="str">
        <x:v>長野県『農山漁村地域整備計画（R7-R11）』 https://www.pref.nagano.lg.jp/ringyo/documents/sinkeikaku2025.pdf</x:v>
      </x:c>
      <x:c r="Y145" s="15" t="str"/>
      <x:c r="Z145" s="15" t="str">
        <x:v>https://www.pref.nagano.lg.jp/ringyo/documents/sinkeikaku2025.pdf</x:v>
      </x:c>
      <x:c r="AA145" s="15" t="str">
        <x:v>2026-07-10</x:v>
      </x:c>
    </x:row>
  </x:sheetData>
  <x:conditionalFormatting sqref="F2:F145">
    <x:cfRule type="expression" dxfId="0" priority="1">
      <x:formula>F2="A"</x:formula>
    </x:cfRule>
    <x:cfRule type="expression" dxfId="1" priority="2">
      <x:formula>F2="B"</x:formula>
    </x:cfRule>
    <x:cfRule type="expression" dxfId="2" priority="3">
      <x:formula>F2="C"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30d2e1912b4d5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4" hidden="0" customWidth="1"/>
    <x:col min="4" max="4" width="24" hidden="0" customWidth="1"/>
    <x:col min="5" max="5" width="42" hidden="0" customWidth="1"/>
    <x:col min="6" max="6" width="14" hidden="0" customWidth="1"/>
    <x:col min="7" max="7" width="16" hidden="0" customWidth="1"/>
    <x:col min="8" max="8" width="11" hidden="0" customWidth="1"/>
    <x:col min="9" max="9" width="12" hidden="0" customWidth="1"/>
    <x:col min="10" max="10" width="50" hidden="0" customWidth="1"/>
    <x:col min="11" max="11" width="13" hidden="0" customWidth="1"/>
  </x:cols>
  <x:sheetData>
    <x:row r="1" ht="32" customHeight="1">
      <x:c r="A1" s="22" t="str">
        <x:v>林道名</x:v>
      </x:c>
      <x:c r="B1" s="22" t="str">
        <x:v>関係市町村</x:v>
      </x:c>
      <x:c r="C1" s="22" t="str">
        <x:v>計画期間</x:v>
      </x:c>
      <x:c r="D1" s="22" t="str">
        <x:v>事業型</x:v>
      </x:c>
      <x:c r="E1" s="22" t="str">
        <x:v>事業内容</x:v>
      </x:c>
      <x:c r="F1" s="22" t="str">
        <x:v>工期</x:v>
      </x:c>
      <x:c r="G1" s="22" t="str">
        <x:v>総事業費千円</x:v>
      </x:c>
      <x:c r="H1" s="22" t="str">
        <x:v>ほか表記</x:v>
      </x:c>
      <x:c r="I1" s="22" t="str">
        <x:v>資料ページ</x:v>
      </x:c>
      <x:c r="J1" s="22" t="str">
        <x:v>行政出典URL</x:v>
      </x:c>
      <x:c r="K1" s="22" t="str">
        <x:v>確認日</x:v>
      </x:c>
    </x:row>
    <x:row r="2">
      <x:c r="A2" s="12" t="str">
        <x:v>矢筈線</x:v>
      </x:c>
      <x:c r="B2" s="12" t="str">
        <x:v>飯田市</x:v>
      </x:c>
      <x:c r="C2" s="12" t="str">
        <x:v>H22-H26</x:v>
      </x:c>
      <x:c r="D2" s="12" t="str">
        <x:v>育成林整備事業</x:v>
      </x:c>
      <x:c r="E2" s="12" t="str">
        <x:v>流域育成林整備事業（林道開設）</x:v>
      </x:c>
      <x:c r="F2" s="12" t="str">
        <x:v>H22</x:v>
      </x:c>
      <x:c r="G2" s="12" t="str">
        <x:v>42000</x:v>
      </x:c>
      <x:c r="H2" s="12" t="str">
        <x:v>なし</x:v>
      </x:c>
      <x:c r="I2" s="12" t="str">
        <x:v>1</x:v>
      </x:c>
      <x:c r="J2" s="12" t="str">
        <x:v>https://www.pref.nagano.lg.jp/ringyo/documents/kyukeikaku.pdf</x:v>
      </x:c>
      <x:c r="K2" s="12" t="str">
        <x:v>2026-07-10</x:v>
      </x:c>
    </x:row>
    <x:row r="3">
      <x:c r="A3" s="12" t="str">
        <x:v>西部線</x:v>
      </x:c>
      <x:c r="B3" s="12" t="str">
        <x:v>辰野町</x:v>
      </x:c>
      <x:c r="C3" s="12" t="str">
        <x:v>H22-H26</x:v>
      </x:c>
      <x:c r="D3" s="12" t="str">
        <x:v>林道改良事業</x:v>
      </x:c>
      <x:c r="E3" s="12" t="str">
        <x:v>林道改良統合補助事業（改良）</x:v>
      </x:c>
      <x:c r="F3" s="12" t="str">
        <x:v>H22～H25</x:v>
      </x:c>
      <x:c r="G3" s="12" t="str">
        <x:v>23056</x:v>
      </x:c>
      <x:c r="H3" s="12" t="str">
        <x:v>なし</x:v>
      </x:c>
      <x:c r="I3" s="12" t="str">
        <x:v>1</x:v>
      </x:c>
      <x:c r="J3" s="12" t="str">
        <x:v>https://www.pref.nagano.lg.jp/ringyo/documents/kyukeikaku.pdf</x:v>
      </x:c>
      <x:c r="K3" s="12" t="str">
        <x:v>2026-07-10</x:v>
      </x:c>
    </x:row>
    <x:row r="4">
      <x:c r="A4" s="12" t="str">
        <x:v>宮沢線</x:v>
      </x:c>
      <x:c r="B4" s="12" t="str">
        <x:v>安曇野市</x:v>
      </x:c>
      <x:c r="C4" s="12" t="str">
        <x:v>H22-H26</x:v>
      </x:c>
      <x:c r="D4" s="12" t="str">
        <x:v>育成林整備事業フォレスト</x:v>
      </x:c>
      <x:c r="E4" s="12" t="str">
        <x:v>育成林整備事業（林道開設）</x:v>
      </x:c>
      <x:c r="F4" s="12" t="str">
        <x:v>H23～H24</x:v>
      </x:c>
      <x:c r="G4" s="12" t="str">
        <x:v>57300</x:v>
      </x:c>
      <x:c r="H4" s="12" t="str">
        <x:v>なし</x:v>
      </x:c>
      <x:c r="I4" s="12" t="str">
        <x:v>1</x:v>
      </x:c>
      <x:c r="J4" s="12" t="str">
        <x:v>https://www.pref.nagano.lg.jp/ringyo/documents/kyukeikaku.pdf</x:v>
      </x:c>
      <x:c r="K4" s="12" t="str">
        <x:v>2026-07-10</x:v>
      </x:c>
    </x:row>
    <x:row r="5">
      <x:c r="A5" s="12" t="str">
        <x:v>長谷高遠線</x:v>
      </x:c>
      <x:c r="B5" s="12" t="str">
        <x:v>伊那市</x:v>
      </x:c>
      <x:c r="C5" s="12" t="str">
        <x:v>H22-H26</x:v>
      </x:c>
      <x:c r="D5" s="12" t="str">
        <x:v>コミュニティ総合整備フ事ォ業レスト</x:v>
      </x:c>
      <x:c r="E5" s="12" t="str">
        <x:v>フォレストコミュニティ総合整備事</x:v>
      </x:c>
      <x:c r="F5" s="12" t="str">
        <x:v>H22～H26</x:v>
      </x:c>
      <x:c r="G5" s="12" t="str">
        <x:v>450000</x:v>
      </x:c>
      <x:c r="H5" s="12" t="str">
        <x:v>なし</x:v>
      </x:c>
      <x:c r="I5" s="12" t="str">
        <x:v>1</x:v>
      </x:c>
      <x:c r="J5" s="12" t="str">
        <x:v>https://www.pref.nagano.lg.jp/ringyo/documents/kyukeikaku.pdf</x:v>
      </x:c>
      <x:c r="K5" s="12" t="str">
        <x:v>2026-07-10</x:v>
      </x:c>
    </x:row>
    <x:row r="6">
      <x:c r="A6" s="12" t="str">
        <x:v>高森山線</x:v>
      </x:c>
      <x:c r="B6" s="12" t="str">
        <x:v>大鹿村</x:v>
      </x:c>
      <x:c r="C6" s="12" t="str">
        <x:v>H22-H26</x:v>
      </x:c>
      <x:c r="D6" s="12" t="str">
        <x:v>コミュニティ総合整備フ事ォ業レスト</x:v>
      </x:c>
      <x:c r="E6" s="12" t="str">
        <x:v>フ業ォ（レ林ス道ト開コ設ミ）ュニティ総合整備事</x:v>
      </x:c>
      <x:c r="F6" s="12" t="str">
        <x:v>H22～H26</x:v>
      </x:c>
      <x:c r="G6" s="12" t="str">
        <x:v>250000</x:v>
      </x:c>
      <x:c r="H6" s="12" t="str">
        <x:v>なし</x:v>
      </x:c>
      <x:c r="I6" s="12" t="str">
        <x:v>1</x:v>
      </x:c>
      <x:c r="J6" s="12" t="str">
        <x:v>https://www.pref.nagano.lg.jp/ringyo/documents/kyukeikaku.pdf</x:v>
      </x:c>
      <x:c r="K6" s="12" t="str">
        <x:v>2026-07-10</x:v>
      </x:c>
    </x:row>
    <x:row r="7">
      <x:c r="A7" s="12" t="str">
        <x:v>白馬小谷東山線</x:v>
      </x:c>
      <x:c r="B7" s="12" t="str">
        <x:v>小谷村</x:v>
      </x:c>
      <x:c r="C7" s="12" t="str">
        <x:v>H22-H26</x:v>
      </x:c>
      <x:c r="D7" s="12" t="str">
        <x:v>コミュニティ総合整備事業</x:v>
      </x:c>
      <x:c r="E7" s="12" t="str">
        <x:v>フ業ォ（レ林ス道ト開コ設ミ）ュニティ総合整備事</x:v>
      </x:c>
      <x:c r="F7" s="12" t="str">
        <x:v>H22～H26</x:v>
      </x:c>
      <x:c r="G7" s="12" t="str">
        <x:v>400000</x:v>
      </x:c>
      <x:c r="H7" s="12" t="str">
        <x:v>なし</x:v>
      </x:c>
      <x:c r="I7" s="12" t="str">
        <x:v>1</x:v>
      </x:c>
      <x:c r="J7" s="12" t="str">
        <x:v>https://www.pref.nagano.lg.jp/ringyo/documents/kyukeikaku.pdf</x:v>
      </x:c>
      <x:c r="K7" s="12" t="str">
        <x:v>2026-07-10</x:v>
      </x:c>
    </x:row>
    <x:row r="8">
      <x:c r="A8" s="12" t="str">
        <x:v>鳥倉線</x:v>
      </x:c>
      <x:c r="B8" s="12" t="str">
        <x:v>大鹿村</x:v>
      </x:c>
      <x:c r="C8" s="12" t="str">
        <x:v>H22-H26</x:v>
      </x:c>
      <x:c r="D8" s="12" t="str">
        <x:v>林道改良事業</x:v>
      </x:c>
      <x:c r="E8" s="12" t="str">
        <x:v>林業道（改林良道事開業設（）改良）</x:v>
      </x:c>
      <x:c r="F8" s="12" t="str">
        <x:v>H22～H26</x:v>
      </x:c>
      <x:c r="G8" s="12" t="str">
        <x:v>135600</x:v>
      </x:c>
      <x:c r="H8" s="12" t="str">
        <x:v>なし</x:v>
      </x:c>
      <x:c r="I8" s="12" t="str">
        <x:v>1</x:v>
      </x:c>
      <x:c r="J8" s="12" t="str">
        <x:v>https://www.pref.nagano.lg.jp/ringyo/documents/kyukeikaku.pdf</x:v>
      </x:c>
      <x:c r="K8" s="12" t="str">
        <x:v>2026-07-10</x:v>
      </x:c>
    </x:row>
    <x:row r="9">
      <x:c r="A9" s="12" t="str">
        <x:v>中峰黒川線</x:v>
      </x:c>
      <x:c r="B9" s="12" t="str">
        <x:v>大鹿村</x:v>
      </x:c>
      <x:c r="C9" s="12" t="str">
        <x:v>H22-H26</x:v>
      </x:c>
      <x:c r="D9" s="12" t="str">
        <x:v>林道改良事業</x:v>
      </x:c>
      <x:c r="E9" s="12" t="str">
        <x:v>林道改良事業（改良）</x:v>
      </x:c>
      <x:c r="F9" s="12" t="str">
        <x:v>H22～H26</x:v>
      </x:c>
      <x:c r="G9" s="12" t="str">
        <x:v>150000</x:v>
      </x:c>
      <x:c r="H9" s="12" t="str">
        <x:v>なし</x:v>
      </x:c>
      <x:c r="I9" s="12" t="str">
        <x:v>1</x:v>
      </x:c>
      <x:c r="J9" s="12" t="str">
        <x:v>https://www.pref.nagano.lg.jp/ringyo/documents/kyukeikaku.pdf</x:v>
      </x:c>
      <x:c r="K9" s="12" t="str">
        <x:v>2026-07-10</x:v>
      </x:c>
    </x:row>
    <x:row r="10">
      <x:c r="A10" s="12" t="str">
        <x:v>中峰黒川線</x:v>
      </x:c>
      <x:c r="B10" s="12" t="str">
        <x:v>大鹿村</x:v>
      </x:c>
      <x:c r="C10" s="12" t="str">
        <x:v>H22-H26</x:v>
      </x:c>
      <x:c r="D10" s="12" t="str">
        <x:v>林道改良事業</x:v>
      </x:c>
      <x:c r="E10" s="12" t="str">
        <x:v>林道改良事業（舗装）</x:v>
      </x:c>
      <x:c r="F10" s="12" t="str">
        <x:v>H22～H23</x:v>
      </x:c>
      <x:c r="G10" s="12" t="str">
        <x:v>49130</x:v>
      </x:c>
      <x:c r="H10" s="12" t="str">
        <x:v>なし</x:v>
      </x:c>
      <x:c r="I10" s="12" t="str">
        <x:v>1</x:v>
      </x:c>
      <x:c r="J10" s="12" t="str">
        <x:v>https://www.pref.nagano.lg.jp/ringyo/documents/kyukeikaku.pdf</x:v>
      </x:c>
      <x:c r="K10" s="12" t="str">
        <x:v>2026-07-10</x:v>
      </x:c>
    </x:row>
    <x:row r="11">
      <x:c r="A11" s="12" t="str">
        <x:v>熊沢幸沢線</x:v>
      </x:c>
      <x:c r="B11" s="12" t="str">
        <x:v>木曽町</x:v>
      </x:c>
      <x:c r="C11" s="12" t="str">
        <x:v>H22-H26</x:v>
      </x:c>
      <x:c r="D11" s="12" t="str">
        <x:v>林道改良事業</x:v>
      </x:c>
      <x:c r="E11" s="12" t="str">
        <x:v>林道改良事業（改良）</x:v>
      </x:c>
      <x:c r="F11" s="12" t="str">
        <x:v>H22～H26</x:v>
      </x:c>
      <x:c r="G11" s="12" t="str">
        <x:v>30000</x:v>
      </x:c>
      <x:c r="H11" s="12" t="str">
        <x:v>なし</x:v>
      </x:c>
      <x:c r="I11" s="12" t="str">
        <x:v>1</x:v>
      </x:c>
      <x:c r="J11" s="12" t="str">
        <x:v>https://www.pref.nagano.lg.jp/ringyo/documents/kyukeikaku.pdf</x:v>
      </x:c>
      <x:c r="K11" s="12" t="str">
        <x:v>2026-07-10</x:v>
      </x:c>
    </x:row>
    <x:row r="12">
      <x:c r="A12" s="12" t="str">
        <x:v>烏川線</x:v>
      </x:c>
      <x:c r="B12" s="12" t="str">
        <x:v>安曇野市</x:v>
      </x:c>
      <x:c r="C12" s="12" t="str">
        <x:v>H22-H26</x:v>
      </x:c>
      <x:c r="D12" s="12" t="str">
        <x:v>林道改良事業</x:v>
      </x:c>
      <x:c r="E12" s="12" t="str">
        <x:v>林道改良事業（改良）</x:v>
      </x:c>
      <x:c r="F12" s="12" t="str">
        <x:v>H22～H24</x:v>
      </x:c>
      <x:c r="G12" s="12" t="str">
        <x:v>89600</x:v>
      </x:c>
      <x:c r="H12" s="12" t="str">
        <x:v>なし</x:v>
      </x:c>
      <x:c r="I12" s="12" t="str">
        <x:v>1</x:v>
      </x:c>
      <x:c r="J12" s="12" t="str">
        <x:v>https://www.pref.nagano.lg.jp/ringyo/documents/kyukeikaku.pdf</x:v>
      </x:c>
      <x:c r="K12" s="12" t="str">
        <x:v>2026-07-10</x:v>
      </x:c>
    </x:row>
    <x:row r="13">
      <x:c r="A13" s="12" t="str">
        <x:v>秋山線</x:v>
      </x:c>
      <x:c r="B13" s="12" t="str">
        <x:v>栄村</x:v>
      </x:c>
      <x:c r="C13" s="12" t="str">
        <x:v>H22-H26</x:v>
      </x:c>
      <x:c r="D13" s="12" t="str">
        <x:v>林道改良事業</x:v>
      </x:c>
      <x:c r="E13" s="12" t="str">
        <x:v>林道改良事業（改良）</x:v>
      </x:c>
      <x:c r="F13" s="12" t="str">
        <x:v>H22～H24</x:v>
      </x:c>
      <x:c r="G13" s="12" t="str">
        <x:v>29000</x:v>
      </x:c>
      <x:c r="H13" s="12" t="str">
        <x:v>なし</x:v>
      </x:c>
      <x:c r="I13" s="12" t="str">
        <x:v>1</x:v>
      </x:c>
      <x:c r="J13" s="12" t="str">
        <x:v>https://www.pref.nagano.lg.jp/ringyo/documents/kyukeikaku.pdf</x:v>
      </x:c>
      <x:c r="K13" s="12" t="str">
        <x:v>2026-07-10</x:v>
      </x:c>
    </x:row>
    <x:row r="14">
      <x:c r="A14" s="12" t="str">
        <x:v>千代田湖枯木線</x:v>
      </x:c>
      <x:c r="B14" s="12" t="str">
        <x:v>伊那市</x:v>
      </x:c>
      <x:c r="C14" s="12" t="str">
        <x:v>H22-H26</x:v>
      </x:c>
      <x:c r="D14" s="12" t="str">
        <x:v>林道改良事業</x:v>
      </x:c>
      <x:c r="E14" s="12" t="str">
        <x:v>林道改良事業（改良・舗装）</x:v>
      </x:c>
      <x:c r="F14" s="12" t="str">
        <x:v>H22～H26</x:v>
      </x:c>
      <x:c r="G14" s="12" t="str">
        <x:v>60000</x:v>
      </x:c>
      <x:c r="H14" s="12" t="str">
        <x:v>なし</x:v>
      </x:c>
      <x:c r="I14" s="12" t="str">
        <x:v>2</x:v>
      </x:c>
      <x:c r="J14" s="12" t="str">
        <x:v>https://www.pref.nagano.lg.jp/ringyo/documents/kyukeikaku.pdf</x:v>
      </x:c>
      <x:c r="K14" s="12" t="str">
        <x:v>2026-07-10</x:v>
      </x:c>
    </x:row>
    <x:row r="15">
      <x:c r="A15" s="12" t="str">
        <x:v>小河内線</x:v>
      </x:c>
      <x:c r="B15" s="12" t="str">
        <x:v>中川村</x:v>
      </x:c>
      <x:c r="C15" s="12" t="str">
        <x:v>H22-H26</x:v>
      </x:c>
      <x:c r="D15" s="12" t="str">
        <x:v>林道改良事業</x:v>
      </x:c>
      <x:c r="E15" s="12" t="str">
        <x:v>林道改良事業（改良）</x:v>
      </x:c>
      <x:c r="F15" s="12" t="str">
        <x:v>H22～H24</x:v>
      </x:c>
      <x:c r="G15" s="12" t="str">
        <x:v>54700</x:v>
      </x:c>
      <x:c r="H15" s="12" t="str">
        <x:v>なし</x:v>
      </x:c>
      <x:c r="I15" s="12" t="str">
        <x:v>2</x:v>
      </x:c>
      <x:c r="J15" s="12" t="str">
        <x:v>https://www.pref.nagano.lg.jp/ringyo/documents/kyukeikaku.pdf</x:v>
      </x:c>
      <x:c r="K15" s="12" t="str">
        <x:v>2026-07-10</x:v>
      </x:c>
    </x:row>
    <x:row r="16">
      <x:c r="A16" s="12" t="str">
        <x:v>御池山線</x:v>
      </x:c>
      <x:c r="B16" s="12" t="str">
        <x:v>飯田市</x:v>
      </x:c>
      <x:c r="C16" s="12" t="str">
        <x:v>H22-H26</x:v>
      </x:c>
      <x:c r="D16" s="12" t="str">
        <x:v>林道改良事業</x:v>
      </x:c>
      <x:c r="E16" s="12" t="str">
        <x:v>林道改良事業（改良）</x:v>
      </x:c>
      <x:c r="F16" s="12" t="str">
        <x:v>H22</x:v>
      </x:c>
      <x:c r="G16" s="12" t="str">
        <x:v>30780</x:v>
      </x:c>
      <x:c r="H16" s="12" t="str">
        <x:v>なし</x:v>
      </x:c>
      <x:c r="I16" s="12" t="str">
        <x:v>2</x:v>
      </x:c>
      <x:c r="J16" s="12" t="str">
        <x:v>https://www.pref.nagano.lg.jp/ringyo/documents/kyukeikaku.pdf</x:v>
      </x:c>
      <x:c r="K16" s="12" t="str">
        <x:v>2026-07-10</x:v>
      </x:c>
    </x:row>
    <x:row r="17">
      <x:c r="A17" s="12" t="str">
        <x:v>大沢線</x:v>
      </x:c>
      <x:c r="B17" s="12" t="str">
        <x:v>阿南町</x:v>
      </x:c>
      <x:c r="C17" s="12" t="str">
        <x:v>H22-H26</x:v>
      </x:c>
      <x:c r="D17" s="12" t="str">
        <x:v>林道改良事業</x:v>
      </x:c>
      <x:c r="E17" s="12" t="str">
        <x:v>林道改良事業（改良）</x:v>
      </x:c>
      <x:c r="F17" s="12" t="str">
        <x:v>H22</x:v>
      </x:c>
      <x:c r="G17" s="12" t="str">
        <x:v>19862</x:v>
      </x:c>
      <x:c r="H17" s="12" t="str">
        <x:v>なし</x:v>
      </x:c>
      <x:c r="I17" s="12" t="str">
        <x:v>2</x:v>
      </x:c>
      <x:c r="J17" s="12" t="str">
        <x:v>https://www.pref.nagano.lg.jp/ringyo/documents/kyukeikaku.pdf</x:v>
      </x:c>
      <x:c r="K17" s="12" t="str">
        <x:v>2026-07-10</x:v>
      </x:c>
    </x:row>
    <x:row r="18">
      <x:c r="A18" s="12" t="str">
        <x:v>虫川新野線</x:v>
      </x:c>
      <x:c r="B18" s="12" t="str">
        <x:v>天龍村</x:v>
      </x:c>
      <x:c r="C18" s="12" t="str">
        <x:v>H22-H26</x:v>
      </x:c>
      <x:c r="D18" s="12" t="str">
        <x:v>林道改良事業</x:v>
      </x:c>
      <x:c r="E18" s="12" t="str">
        <x:v>林道改良事業（舗装）</x:v>
      </x:c>
      <x:c r="F18" s="12" t="str">
        <x:v>H22～H26</x:v>
      </x:c>
      <x:c r="G18" s="12" t="str">
        <x:v>140000</x:v>
      </x:c>
      <x:c r="H18" s="12" t="str">
        <x:v>なし</x:v>
      </x:c>
      <x:c r="I18" s="12" t="str">
        <x:v>2</x:v>
      </x:c>
      <x:c r="J18" s="12" t="str">
        <x:v>https://www.pref.nagano.lg.jp/ringyo/documents/kyukeikaku.pdf</x:v>
      </x:c>
      <x:c r="K18" s="12" t="str">
        <x:v>2026-07-10</x:v>
      </x:c>
    </x:row>
    <x:row r="19">
      <x:c r="A19" s="12" t="str">
        <x:v>横根山線</x:v>
      </x:c>
      <x:c r="B19" s="12" t="str">
        <x:v>飯島町</x:v>
      </x:c>
      <x:c r="C19" s="12" t="str">
        <x:v>H22-H26</x:v>
      </x:c>
      <x:c r="D19" s="12" t="str">
        <x:v>林道改良事業</x:v>
      </x:c>
      <x:c r="E19" s="12" t="str">
        <x:v>林道改良事業（改良）</x:v>
      </x:c>
      <x:c r="F19" s="12" t="str">
        <x:v>H23～H24</x:v>
      </x:c>
      <x:c r="G19" s="12" t="str">
        <x:v>39800</x:v>
      </x:c>
      <x:c r="H19" s="12" t="str">
        <x:v>なし</x:v>
      </x:c>
      <x:c r="I19" s="12" t="str">
        <x:v>2</x:v>
      </x:c>
      <x:c r="J19" s="12" t="str">
        <x:v>https://www.pref.nagano.lg.jp/ringyo/documents/kyukeikaku.pdf</x:v>
      </x:c>
      <x:c r="K19" s="12" t="str">
        <x:v>2026-07-10</x:v>
      </x:c>
    </x:row>
    <x:row r="20">
      <x:c r="A20" s="12" t="str">
        <x:v>白坂砥石沢線</x:v>
      </x:c>
      <x:c r="B20" s="12" t="str">
        <x:v>筑北村</x:v>
      </x:c>
      <x:c r="C20" s="12" t="str">
        <x:v>H22-H26</x:v>
      </x:c>
      <x:c r="D20" s="12" t="str">
        <x:v>林道改良事業</x:v>
      </x:c>
      <x:c r="E20" s="12" t="str">
        <x:v>林道改良事業（改良）</x:v>
      </x:c>
      <x:c r="F20" s="12" t="str">
        <x:v>H23</x:v>
      </x:c>
      <x:c r="G20" s="12" t="str">
        <x:v>14740</x:v>
      </x:c>
      <x:c r="H20" s="12" t="str">
        <x:v>なし</x:v>
      </x:c>
      <x:c r="I20" s="12" t="str">
        <x:v>2</x:v>
      </x:c>
      <x:c r="J20" s="12" t="str">
        <x:v>https://www.pref.nagano.lg.jp/ringyo/documents/kyukeikaku.pdf</x:v>
      </x:c>
      <x:c r="K20" s="12" t="str">
        <x:v>2026-07-10</x:v>
      </x:c>
    </x:row>
    <x:row r="21">
      <x:c r="A21" s="12" t="str">
        <x:v>細野線</x:v>
      </x:c>
      <x:c r="B21" s="12" t="str">
        <x:v>白馬村</x:v>
      </x:c>
      <x:c r="C21" s="12" t="str">
        <x:v>H22-H26</x:v>
      </x:c>
      <x:c r="D21" s="12" t="str">
        <x:v>林道改良事業</x:v>
      </x:c>
      <x:c r="E21" s="12" t="str">
        <x:v>林道改良事業（改良）</x:v>
      </x:c>
      <x:c r="F21" s="12" t="str">
        <x:v>H23～H26</x:v>
      </x:c>
      <x:c r="G21" s="12" t="str">
        <x:v>55000</x:v>
      </x:c>
      <x:c r="H21" s="12" t="str">
        <x:v>なし</x:v>
      </x:c>
      <x:c r="I21" s="12" t="str">
        <x:v>2</x:v>
      </x:c>
      <x:c r="J21" s="12" t="str">
        <x:v>https://www.pref.nagano.lg.jp/ringyo/documents/kyukeikaku.pdf</x:v>
      </x:c>
      <x:c r="K21" s="12" t="str">
        <x:v>2026-07-10</x:v>
      </x:c>
    </x:row>
    <x:row r="22">
      <x:c r="A22" s="12" t="str">
        <x:v>北野線</x:v>
      </x:c>
      <x:c r="B22" s="12" t="str">
        <x:v>長野県</x:v>
      </x:c>
      <x:c r="C22" s="12" t="str">
        <x:v>H22-H26</x:v>
      </x:c>
      <x:c r="D22" s="12" t="str">
        <x:v>林道改良事業</x:v>
      </x:c>
      <x:c r="E22" s="12" t="str">
        <x:v>林道改良事業（改良）</x:v>
      </x:c>
      <x:c r="F22" s="12" t="str">
        <x:v>H23</x:v>
      </x:c>
      <x:c r="G22" s="12" t="str">
        <x:v>9219</x:v>
      </x:c>
      <x:c r="H22" s="12" t="str">
        <x:v>なし</x:v>
      </x:c>
      <x:c r="I22" s="12" t="str">
        <x:v>2</x:v>
      </x:c>
      <x:c r="J22" s="12" t="str">
        <x:v>https://www.pref.nagano.lg.jp/ringyo/documents/kyukeikaku.pdf</x:v>
      </x:c>
      <x:c r="K22" s="12" t="str">
        <x:v>2026-07-10</x:v>
      </x:c>
    </x:row>
    <x:row r="23">
      <x:c r="A23" s="12" t="str">
        <x:v>大池線</x:v>
      </x:c>
      <x:c r="B23" s="12" t="str">
        <x:v>小谷村</x:v>
      </x:c>
      <x:c r="C23" s="12" t="str">
        <x:v>H22-H26</x:v>
      </x:c>
      <x:c r="D23" s="12" t="str">
        <x:v>林道改良事業</x:v>
      </x:c>
      <x:c r="E23" s="12" t="str">
        <x:v>林道改良事業（改良）</x:v>
      </x:c>
      <x:c r="F23" s="12" t="str">
        <x:v>H23～H26</x:v>
      </x:c>
      <x:c r="G23" s="12" t="str">
        <x:v>120000</x:v>
      </x:c>
      <x:c r="H23" s="12" t="str">
        <x:v>なし</x:v>
      </x:c>
      <x:c r="I23" s="12" t="str">
        <x:v>2</x:v>
      </x:c>
      <x:c r="J23" s="12" t="str">
        <x:v>https://www.pref.nagano.lg.jp/ringyo/documents/kyukeikaku.pdf</x:v>
      </x:c>
      <x:c r="K23" s="12" t="str">
        <x:v>2026-07-10</x:v>
      </x:c>
    </x:row>
    <x:row r="24">
      <x:c r="A24" s="12" t="str">
        <x:v>天白高烏谷線</x:v>
      </x:c>
      <x:c r="B24" s="12" t="str">
        <x:v>駒ヶ根市</x:v>
      </x:c>
      <x:c r="C24" s="12" t="str">
        <x:v>H22-H26</x:v>
      </x:c>
      <x:c r="D24" s="12" t="str">
        <x:v>育成林整備事業</x:v>
      </x:c>
      <x:c r="E24" s="12" t="str">
        <x:v>育成林整備事業（林道開設）</x:v>
      </x:c>
      <x:c r="F24" s="12" t="str">
        <x:v>H22～H26</x:v>
      </x:c>
      <x:c r="G24" s="12" t="str">
        <x:v>100400</x:v>
      </x:c>
      <x:c r="H24" s="12" t="str">
        <x:v>なし</x:v>
      </x:c>
      <x:c r="I24" s="12" t="str">
        <x:v>2</x:v>
      </x:c>
      <x:c r="J24" s="12" t="str">
        <x:v>https://www.pref.nagano.lg.jp/ringyo/documents/kyukeikaku.pdf</x:v>
      </x:c>
      <x:c r="K24" s="12" t="str">
        <x:v>2026-07-10</x:v>
      </x:c>
    </x:row>
    <x:row r="25">
      <x:c r="A25" s="12" t="str">
        <x:v>伊藤線</x:v>
      </x:c>
      <x:c r="B25" s="12" t="str">
        <x:v>飯田市</x:v>
      </x:c>
      <x:c r="C25" s="12" t="str">
        <x:v>H22-H26</x:v>
      </x:c>
      <x:c r="D25" s="12" t="str">
        <x:v>育成林整備事業</x:v>
      </x:c>
      <x:c r="E25" s="12" t="str">
        <x:v>育成林整備事業（林道開設）</x:v>
      </x:c>
      <x:c r="F25" s="12" t="str">
        <x:v>H22～H26</x:v>
      </x:c>
      <x:c r="G25" s="12" t="str">
        <x:v>153300</x:v>
      </x:c>
      <x:c r="H25" s="12" t="str">
        <x:v>なし</x:v>
      </x:c>
      <x:c r="I25" s="12" t="str">
        <x:v>2</x:v>
      </x:c>
      <x:c r="J25" s="12" t="str">
        <x:v>https://www.pref.nagano.lg.jp/ringyo/documents/kyukeikaku.pdf</x:v>
      </x:c>
      <x:c r="K25" s="12" t="str">
        <x:v>2026-07-10</x:v>
      </x:c>
    </x:row>
    <x:row r="26">
      <x:c r="A26" s="12" t="str">
        <x:v>宮坂線</x:v>
      </x:c>
      <x:c r="B26" s="12" t="str">
        <x:v>長野市</x:v>
      </x:c>
      <x:c r="C26" s="12" t="str">
        <x:v>H22-H26</x:v>
      </x:c>
      <x:c r="D26" s="12" t="str">
        <x:v>育成林整備事業</x:v>
      </x:c>
      <x:c r="E26" s="12" t="str">
        <x:v>育成林整備事業（林道開設）</x:v>
      </x:c>
      <x:c r="F26" s="12" t="str">
        <x:v>H22～H26</x:v>
      </x:c>
      <x:c r="G26" s="12" t="str">
        <x:v>100000</x:v>
      </x:c>
      <x:c r="H26" s="12" t="str">
        <x:v>なし</x:v>
      </x:c>
      <x:c r="I26" s="12" t="str">
        <x:v>2</x:v>
      </x:c>
      <x:c r="J26" s="12" t="str">
        <x:v>https://www.pref.nagano.lg.jp/ringyo/documents/kyukeikaku.pdf</x:v>
      </x:c>
      <x:c r="K26" s="12" t="str">
        <x:v>2026-07-10</x:v>
      </x:c>
    </x:row>
    <x:row r="27">
      <x:c r="A27" s="12" t="str">
        <x:v>古城線</x:v>
      </x:c>
      <x:c r="B27" s="12" t="str">
        <x:v>駒ヶ根市</x:v>
      </x:c>
      <x:c r="C27" s="12" t="str">
        <x:v>H22-H26</x:v>
      </x:c>
      <x:c r="D27" s="12" t="str">
        <x:v>林道改良事業</x:v>
      </x:c>
      <x:c r="E27" s="12" t="str">
        <x:v>林道改良事業（改良）</x:v>
      </x:c>
      <x:c r="F27" s="12" t="str">
        <x:v>H24～H26</x:v>
      </x:c>
      <x:c r="G27" s="12" t="str">
        <x:v>91760</x:v>
      </x:c>
      <x:c r="H27" s="12" t="str">
        <x:v>なし</x:v>
      </x:c>
      <x:c r="I27" s="12" t="str">
        <x:v>2</x:v>
      </x:c>
      <x:c r="J27" s="12" t="str">
        <x:v>https://www.pref.nagano.lg.jp/ringyo/documents/kyukeikaku.pdf</x:v>
      </x:c>
      <x:c r="K27" s="12" t="str">
        <x:v>2026-07-10</x:v>
      </x:c>
    </x:row>
    <x:row r="28">
      <x:c r="A28" s="12" t="str">
        <x:v>陣馬形線</x:v>
      </x:c>
      <x:c r="B28" s="12" t="str">
        <x:v>中川村</x:v>
      </x:c>
      <x:c r="C28" s="12" t="str">
        <x:v>H22-H26</x:v>
      </x:c>
      <x:c r="D28" s="12" t="str">
        <x:v>林道改良事業</x:v>
      </x:c>
      <x:c r="E28" s="12" t="str">
        <x:v>林道改良事業（改良・舗装）</x:v>
      </x:c>
      <x:c r="F28" s="12" t="str">
        <x:v>H24～H25</x:v>
      </x:c>
      <x:c r="G28" s="12" t="str">
        <x:v>41600</x:v>
      </x:c>
      <x:c r="H28" s="12" t="str">
        <x:v>なし</x:v>
      </x:c>
      <x:c r="I28" s="12" t="str">
        <x:v>2</x:v>
      </x:c>
      <x:c r="J28" s="12" t="str">
        <x:v>https://www.pref.nagano.lg.jp/ringyo/documents/kyukeikaku.pdf</x:v>
      </x:c>
      <x:c r="K28" s="12" t="str">
        <x:v>2026-07-10</x:v>
      </x:c>
    </x:row>
    <x:row r="29">
      <x:c r="A29" s="12" t="str">
        <x:v>黒牛折草峠線</x:v>
      </x:c>
      <x:c r="B29" s="12" t="str">
        <x:v>中川村</x:v>
      </x:c>
      <x:c r="C29" s="12" t="str">
        <x:v>H22-H26</x:v>
      </x:c>
      <x:c r="D29" s="12" t="str">
        <x:v>林道改良事業</x:v>
      </x:c>
      <x:c r="E29" s="12" t="str">
        <x:v>林道改良事業（舗装）</x:v>
      </x:c>
      <x:c r="F29" s="12" t="str">
        <x:v>H24</x:v>
      </x:c>
      <x:c r="G29" s="12" t="str">
        <x:v>23800</x:v>
      </x:c>
      <x:c r="H29" s="12" t="str">
        <x:v>なし</x:v>
      </x:c>
      <x:c r="I29" s="12" t="str">
        <x:v>2</x:v>
      </x:c>
      <x:c r="J29" s="12" t="str">
        <x:v>https://www.pref.nagano.lg.jp/ringyo/documents/kyukeikaku.pdf</x:v>
      </x:c>
      <x:c r="K29" s="12" t="str">
        <x:v>2026-07-10</x:v>
      </x:c>
    </x:row>
    <x:row r="30">
      <x:c r="A30" s="12" t="str">
        <x:v>万古川線</x:v>
      </x:c>
      <x:c r="B30" s="12" t="str">
        <x:v>泰阜村</x:v>
      </x:c>
      <x:c r="C30" s="12" t="str">
        <x:v>H22-H26</x:v>
      </x:c>
      <x:c r="D30" s="12" t="str">
        <x:v>林道改良事業</x:v>
      </x:c>
      <x:c r="E30" s="12" t="str">
        <x:v>林道改良事業（改良）</x:v>
      </x:c>
      <x:c r="F30" s="12" t="str">
        <x:v>H24～H26</x:v>
      </x:c>
      <x:c r="G30" s="12" t="str">
        <x:v>43000</x:v>
      </x:c>
      <x:c r="H30" s="12" t="str">
        <x:v>なし</x:v>
      </x:c>
      <x:c r="I30" s="12" t="str">
        <x:v>2</x:v>
      </x:c>
      <x:c r="J30" s="12" t="str">
        <x:v>https://www.pref.nagano.lg.jp/ringyo/documents/kyukeikaku.pdf</x:v>
      </x:c>
      <x:c r="K30" s="12" t="str">
        <x:v>2026-07-10</x:v>
      </x:c>
    </x:row>
    <x:row r="31">
      <x:c r="A31" s="12" t="str">
        <x:v>池の平大原線</x:v>
      </x:c>
      <x:c r="B31" s="12" t="str">
        <x:v>木祖村</x:v>
      </x:c>
      <x:c r="C31" s="12" t="str">
        <x:v>H22-H26</x:v>
      </x:c>
      <x:c r="D31" s="12" t="str">
        <x:v>林道改良事業</x:v>
      </x:c>
      <x:c r="E31" s="12" t="str">
        <x:v>林道改良事業（改良）</x:v>
      </x:c>
      <x:c r="F31" s="12" t="str">
        <x:v>H24～H26</x:v>
      </x:c>
      <x:c r="G31" s="12" t="str">
        <x:v>40000</x:v>
      </x:c>
      <x:c r="H31" s="12" t="str">
        <x:v>なし</x:v>
      </x:c>
      <x:c r="I31" s="12" t="str">
        <x:v>2</x:v>
      </x:c>
      <x:c r="J31" s="12" t="str">
        <x:v>https://www.pref.nagano.lg.jp/ringyo/documents/kyukeikaku.pdf</x:v>
      </x:c>
      <x:c r="K31" s="12" t="str">
        <x:v>2026-07-10</x:v>
      </x:c>
    </x:row>
    <x:row r="32">
      <x:c r="A32" s="12" t="str">
        <x:v>床並線</x:v>
      </x:c>
      <x:c r="B32" s="12" t="str">
        <x:v>木祖村</x:v>
      </x:c>
      <x:c r="C32" s="12" t="str">
        <x:v>H22-H26</x:v>
      </x:c>
      <x:c r="D32" s="12" t="str">
        <x:v>林道改良事業</x:v>
      </x:c>
      <x:c r="E32" s="12" t="str">
        <x:v>林道改良事業（改良）</x:v>
      </x:c>
      <x:c r="F32" s="12" t="str">
        <x:v>H24～H26</x:v>
      </x:c>
      <x:c r="G32" s="12" t="str">
        <x:v>30000</x:v>
      </x:c>
      <x:c r="H32" s="12" t="str">
        <x:v>なし</x:v>
      </x:c>
      <x:c r="I32" s="12" t="str">
        <x:v>2</x:v>
      </x:c>
      <x:c r="J32" s="12" t="str">
        <x:v>https://www.pref.nagano.lg.jp/ringyo/documents/kyukeikaku.pdf</x:v>
      </x:c>
      <x:c r="K32" s="12" t="str">
        <x:v>2026-07-10</x:v>
      </x:c>
    </x:row>
    <x:row r="33">
      <x:c r="A33" s="12" t="str">
        <x:v>清水平線</x:v>
      </x:c>
      <x:c r="B33" s="12" t="str">
        <x:v>木島平村</x:v>
      </x:c>
      <x:c r="C33" s="12" t="str">
        <x:v>H22-H26</x:v>
      </x:c>
      <x:c r="D33" s="12" t="str">
        <x:v>林道改良事業</x:v>
      </x:c>
      <x:c r="E33" s="12" t="str">
        <x:v>林道改良事業（改良）</x:v>
      </x:c>
      <x:c r="F33" s="12" t="str">
        <x:v>H24</x:v>
      </x:c>
      <x:c r="G33" s="12" t="str">
        <x:v>9900</x:v>
      </x:c>
      <x:c r="H33" s="12" t="str">
        <x:v>なし</x:v>
      </x:c>
      <x:c r="I33" s="12" t="str">
        <x:v>2</x:v>
      </x:c>
      <x:c r="J33" s="12" t="str">
        <x:v>https://www.pref.nagano.lg.jp/ringyo/documents/kyukeikaku.pdf</x:v>
      </x:c>
      <x:c r="K33" s="12" t="str">
        <x:v>2026-07-10</x:v>
      </x:c>
    </x:row>
    <x:row r="34">
      <x:c r="A34" s="12" t="str">
        <x:v>東沢線</x:v>
      </x:c>
      <x:c r="B34" s="12" t="str">
        <x:v>飯田市</x:v>
      </x:c>
      <x:c r="C34" s="12" t="str">
        <x:v>H22-H26</x:v>
      </x:c>
      <x:c r="D34" s="12" t="str">
        <x:v>林道改良事業</x:v>
      </x:c>
      <x:c r="E34" s="12" t="str">
        <x:v>林道改良事業（改良）</x:v>
      </x:c>
      <x:c r="F34" s="12" t="str">
        <x:v>H24</x:v>
      </x:c>
      <x:c r="G34" s="12" t="str">
        <x:v>41500</x:v>
      </x:c>
      <x:c r="H34" s="12" t="str">
        <x:v>なし</x:v>
      </x:c>
      <x:c r="I34" s="12" t="str">
        <x:v>2</x:v>
      </x:c>
      <x:c r="J34" s="12" t="str">
        <x:v>https://www.pref.nagano.lg.jp/ringyo/documents/kyukeikaku.pdf</x:v>
      </x:c>
      <x:c r="K34" s="12" t="str">
        <x:v>2026-07-10</x:v>
      </x:c>
    </x:row>
    <x:row r="35">
      <x:c r="A35" s="12" t="str">
        <x:v>赤石線</x:v>
      </x:c>
      <x:c r="B35" s="12" t="str">
        <x:v>飯田市</x:v>
      </x:c>
      <x:c r="C35" s="12" t="str">
        <x:v>H22-H26</x:v>
      </x:c>
      <x:c r="D35" s="12" t="str">
        <x:v>林道改良事業</x:v>
      </x:c>
      <x:c r="E35" s="12" t="str">
        <x:v>林道改良事業（改良）</x:v>
      </x:c>
      <x:c r="F35" s="12" t="str">
        <x:v>H24～H26</x:v>
      </x:c>
      <x:c r="G35" s="12" t="str">
        <x:v>72200</x:v>
      </x:c>
      <x:c r="H35" s="12" t="str">
        <x:v>なし</x:v>
      </x:c>
      <x:c r="I35" s="12" t="str">
        <x:v>2</x:v>
      </x:c>
      <x:c r="J35" s="12" t="str">
        <x:v>https://www.pref.nagano.lg.jp/ringyo/documents/kyukeikaku.pdf</x:v>
      </x:c>
      <x:c r="K35" s="12" t="str">
        <x:v>2026-07-10</x:v>
      </x:c>
    </x:row>
    <x:row r="36">
      <x:c r="A36" s="12" t="str">
        <x:v>高町線</x:v>
      </x:c>
      <x:c r="B36" s="12" t="str">
        <x:v>飯田市</x:v>
      </x:c>
      <x:c r="C36" s="12" t="str">
        <x:v>H22-H26</x:v>
      </x:c>
      <x:c r="D36" s="12" t="str">
        <x:v>林道改良事業</x:v>
      </x:c>
      <x:c r="E36" s="12" t="str">
        <x:v>林道改良事業（改良）</x:v>
      </x:c>
      <x:c r="F36" s="12" t="str">
        <x:v>H24</x:v>
      </x:c>
      <x:c r="G36" s="12" t="str">
        <x:v>31100</x:v>
      </x:c>
      <x:c r="H36" s="12" t="str">
        <x:v>なし</x:v>
      </x:c>
      <x:c r="I36" s="12" t="str">
        <x:v>2</x:v>
      </x:c>
      <x:c r="J36" s="12" t="str">
        <x:v>https://www.pref.nagano.lg.jp/ringyo/documents/kyukeikaku.pdf</x:v>
      </x:c>
      <x:c r="K36" s="12" t="str">
        <x:v>2026-07-10</x:v>
      </x:c>
    </x:row>
    <x:row r="37">
      <x:c r="A37" s="12" t="str">
        <x:v>早稲田木曽畑線</x:v>
      </x:c>
      <x:c r="B37" s="12" t="str">
        <x:v>阿南町</x:v>
      </x:c>
      <x:c r="C37" s="12" t="str">
        <x:v>H22-H26</x:v>
      </x:c>
      <x:c r="D37" s="12" t="str">
        <x:v>林道改良事業</x:v>
      </x:c>
      <x:c r="E37" s="12" t="str">
        <x:v>林道改良事業（改良）</x:v>
      </x:c>
      <x:c r="F37" s="12" t="str">
        <x:v>H24～H26</x:v>
      </x:c>
      <x:c r="G37" s="12" t="str">
        <x:v>100000</x:v>
      </x:c>
      <x:c r="H37" s="12" t="str">
        <x:v>なし</x:v>
      </x:c>
      <x:c r="I37" s="12" t="str">
        <x:v>2</x:v>
      </x:c>
      <x:c r="J37" s="12" t="str">
        <x:v>https://www.pref.nagano.lg.jp/ringyo/documents/kyukeikaku.pdf</x:v>
      </x:c>
      <x:c r="K37" s="12" t="str">
        <x:v>2026-07-10</x:v>
      </x:c>
    </x:row>
    <x:row r="38">
      <x:c r="A38" s="12" t="str">
        <x:v>売木うつぼ線</x:v>
      </x:c>
      <x:c r="B38" s="12" t="str">
        <x:v>阿南町</x:v>
      </x:c>
      <x:c r="C38" s="12" t="str">
        <x:v>H22-H26</x:v>
      </x:c>
      <x:c r="D38" s="12" t="str">
        <x:v>林道改良事業</x:v>
      </x:c>
      <x:c r="E38" s="12" t="str">
        <x:v>林道改良事業（改良）</x:v>
      </x:c>
      <x:c r="F38" s="12" t="str">
        <x:v>H24～H26</x:v>
      </x:c>
      <x:c r="G38" s="12" t="str">
        <x:v>85000</x:v>
      </x:c>
      <x:c r="H38" s="12" t="str">
        <x:v>なし</x:v>
      </x:c>
      <x:c r="I38" s="12" t="str">
        <x:v>2</x:v>
      </x:c>
      <x:c r="J38" s="12" t="str">
        <x:v>https://www.pref.nagano.lg.jp/ringyo/documents/kyukeikaku.pdf</x:v>
      </x:c>
      <x:c r="K38" s="12" t="str">
        <x:v>2026-07-10</x:v>
      </x:c>
    </x:row>
    <x:row r="39">
      <x:c r="A39" s="12" t="str">
        <x:v>虻川線</x:v>
      </x:c>
      <x:c r="B39" s="12" t="str">
        <x:v>豊丘村</x:v>
      </x:c>
      <x:c r="C39" s="12" t="str">
        <x:v>H22-H26</x:v>
      </x:c>
      <x:c r="D39" s="12" t="str">
        <x:v>林道改良事業</x:v>
      </x:c>
      <x:c r="E39" s="12" t="str">
        <x:v>林道改良事業（改良）</x:v>
      </x:c>
      <x:c r="F39" s="12" t="str">
        <x:v>H24</x:v>
      </x:c>
      <x:c r="G39" s="12" t="str">
        <x:v>15500</x:v>
      </x:c>
      <x:c r="H39" s="12" t="str">
        <x:v>なし</x:v>
      </x:c>
      <x:c r="I39" s="12" t="str">
        <x:v>2</x:v>
      </x:c>
      <x:c r="J39" s="12" t="str">
        <x:v>https://www.pref.nagano.lg.jp/ringyo/documents/kyukeikaku.pdf</x:v>
      </x:c>
      <x:c r="K39" s="12" t="str">
        <x:v>2026-07-10</x:v>
      </x:c>
    </x:row>
    <x:row r="40">
      <x:c r="A40" s="12" t="str">
        <x:v>虻川線</x:v>
      </x:c>
      <x:c r="B40" s="12" t="str">
        <x:v>豊丘村</x:v>
      </x:c>
      <x:c r="C40" s="12" t="str">
        <x:v>H22-H26</x:v>
      </x:c>
      <x:c r="D40" s="12" t="str">
        <x:v>林道改良事業</x:v>
      </x:c>
      <x:c r="E40" s="12" t="str">
        <x:v>林道改良事業（舗装）</x:v>
      </x:c>
      <x:c r="F40" s="12" t="str">
        <x:v>H24～H26</x:v>
      </x:c>
      <x:c r="G40" s="12" t="str">
        <x:v>70000</x:v>
      </x:c>
      <x:c r="H40" s="12" t="str">
        <x:v>なし</x:v>
      </x:c>
      <x:c r="I40" s="12" t="str">
        <x:v>2</x:v>
      </x:c>
      <x:c r="J40" s="12" t="str">
        <x:v>https://www.pref.nagano.lg.jp/ringyo/documents/kyukeikaku.pdf</x:v>
      </x:c>
      <x:c r="K40" s="12" t="str">
        <x:v>2026-07-10</x:v>
      </x:c>
    </x:row>
    <x:row r="41">
      <x:c r="A41" s="12" t="str">
        <x:v>虫川新野峠線</x:v>
      </x:c>
      <x:c r="B41" s="12" t="str">
        <x:v>天龍村</x:v>
      </x:c>
      <x:c r="C41" s="12" t="str">
        <x:v>H22-H26</x:v>
      </x:c>
      <x:c r="D41" s="12" t="str">
        <x:v>林道改良事業</x:v>
      </x:c>
      <x:c r="E41" s="12" t="str">
        <x:v>林道改良事業（改良）</x:v>
      </x:c>
      <x:c r="F41" s="12" t="str">
        <x:v>H24</x:v>
      </x:c>
      <x:c r="G41" s="12" t="str">
        <x:v>30200</x:v>
      </x:c>
      <x:c r="H41" s="12" t="str">
        <x:v>なし</x:v>
      </x:c>
      <x:c r="I41" s="12" t="str">
        <x:v>2</x:v>
      </x:c>
      <x:c r="J41" s="12" t="str">
        <x:v>https://www.pref.nagano.lg.jp/ringyo/documents/kyukeikaku.pdf</x:v>
      </x:c>
      <x:c r="K41" s="12" t="str">
        <x:v>2026-07-10</x:v>
      </x:c>
    </x:row>
    <x:row r="42">
      <x:c r="A42" s="12" t="str">
        <x:v>塩沢線</x:v>
      </x:c>
      <x:c r="B42" s="12" t="str">
        <x:v>木祖村</x:v>
      </x:c>
      <x:c r="C42" s="12" t="str">
        <x:v>H22-H26</x:v>
      </x:c>
      <x:c r="D42" s="12" t="str">
        <x:v>林道改良事業</x:v>
      </x:c>
      <x:c r="E42" s="12" t="str">
        <x:v>林道改良事業（舗装）</x:v>
      </x:c>
      <x:c r="F42" s="12" t="str">
        <x:v>H24～H26</x:v>
      </x:c>
      <x:c r="G42" s="12" t="str">
        <x:v>110000</x:v>
      </x:c>
      <x:c r="H42" s="12" t="str">
        <x:v>なし</x:v>
      </x:c>
      <x:c r="I42" s="12" t="str">
        <x:v>2</x:v>
      </x:c>
      <x:c r="J42" s="12" t="str">
        <x:v>https://www.pref.nagano.lg.jp/ringyo/documents/kyukeikaku.pdf</x:v>
      </x:c>
      <x:c r="K42" s="12" t="str">
        <x:v>2026-07-10</x:v>
      </x:c>
    </x:row>
    <x:row r="43">
      <x:c r="A43" s="12" t="str">
        <x:v>黒川線</x:v>
      </x:c>
      <x:c r="B43" s="12" t="str">
        <x:v>小谷村</x:v>
      </x:c>
      <x:c r="C43" s="12" t="str">
        <x:v>H22-H26</x:v>
      </x:c>
      <x:c r="D43" s="12" t="str">
        <x:v>林道改良事業</x:v>
      </x:c>
      <x:c r="E43" s="12" t="str">
        <x:v>林道改良事業（改良）</x:v>
      </x:c>
      <x:c r="F43" s="12" t="str">
        <x:v>H24</x:v>
      </x:c>
      <x:c r="G43" s="12" t="str">
        <x:v>11100</x:v>
      </x:c>
      <x:c r="H43" s="12" t="str">
        <x:v>なし</x:v>
      </x:c>
      <x:c r="I43" s="12" t="str">
        <x:v>2</x:v>
      </x:c>
      <x:c r="J43" s="12" t="str">
        <x:v>https://www.pref.nagano.lg.jp/ringyo/documents/kyukeikaku.pdf</x:v>
      </x:c>
      <x:c r="K43" s="12" t="str">
        <x:v>2026-07-10</x:v>
      </x:c>
    </x:row>
    <x:row r="44">
      <x:c r="A44" s="12" t="str">
        <x:v>間沢川線</x:v>
      </x:c>
      <x:c r="B44" s="12" t="str">
        <x:v>松川町</x:v>
      </x:c>
      <x:c r="C44" s="12" t="str">
        <x:v>H22-H26</x:v>
      </x:c>
      <x:c r="D44" s="12" t="str">
        <x:v>林道改良事業</x:v>
      </x:c>
      <x:c r="E44" s="12" t="str">
        <x:v>林道改良事業（改良）</x:v>
      </x:c>
      <x:c r="F44" s="12" t="str">
        <x:v>H24～H26</x:v>
      </x:c>
      <x:c r="G44" s="12" t="str">
        <x:v>50000</x:v>
      </x:c>
      <x:c r="H44" s="12" t="str">
        <x:v>なし</x:v>
      </x:c>
      <x:c r="I44" s="12" t="str">
        <x:v>2</x:v>
      </x:c>
      <x:c r="J44" s="12" t="str">
        <x:v>https://www.pref.nagano.lg.jp/ringyo/documents/kyukeikaku.pdf</x:v>
      </x:c>
      <x:c r="K44" s="12" t="str">
        <x:v>2026-07-10</x:v>
      </x:c>
    </x:row>
    <x:row r="45">
      <x:c r="A45" s="12" t="str">
        <x:v>鉢盛山線</x:v>
      </x:c>
      <x:c r="B45" s="12" t="str">
        <x:v>朝日村</x:v>
      </x:c>
      <x:c r="C45" s="12" t="str">
        <x:v>H22-H26</x:v>
      </x:c>
      <x:c r="D45" s="12" t="str">
        <x:v>林道改良事業</x:v>
      </x:c>
      <x:c r="E45" s="12" t="str">
        <x:v>林道改良事業（改良）</x:v>
      </x:c>
      <x:c r="F45" s="12" t="str">
        <x:v>H24～H26</x:v>
      </x:c>
      <x:c r="G45" s="12" t="str">
        <x:v>140000</x:v>
      </x:c>
      <x:c r="H45" s="12" t="str">
        <x:v>なし</x:v>
      </x:c>
      <x:c r="I45" s="12" t="str">
        <x:v>2</x:v>
      </x:c>
      <x:c r="J45" s="12" t="str">
        <x:v>https://www.pref.nagano.lg.jp/ringyo/documents/kyukeikaku.pdf</x:v>
      </x:c>
      <x:c r="K45" s="12" t="str">
        <x:v>2026-07-10</x:v>
      </x:c>
    </x:row>
    <x:row r="46">
      <x:c r="A46" s="12" t="str">
        <x:v>中日影線</x:v>
      </x:c>
      <x:c r="B46" s="12" t="str">
        <x:v>高山村</x:v>
      </x:c>
      <x:c r="C46" s="12" t="str">
        <x:v>H22-H26</x:v>
      </x:c>
      <x:c r="D46" s="12" t="str">
        <x:v>林道改良事業</x:v>
      </x:c>
      <x:c r="E46" s="12" t="str">
        <x:v>林道改良事業（改良）</x:v>
      </x:c>
      <x:c r="F46" s="12" t="str">
        <x:v>H24</x:v>
      </x:c>
      <x:c r="G46" s="12" t="str">
        <x:v>10700</x:v>
      </x:c>
      <x:c r="H46" s="12" t="str">
        <x:v>なし</x:v>
      </x:c>
      <x:c r="I46" s="12" t="str">
        <x:v>2</x:v>
      </x:c>
      <x:c r="J46" s="12" t="str">
        <x:v>https://www.pref.nagano.lg.jp/ringyo/documents/kyukeikaku.pdf</x:v>
      </x:c>
      <x:c r="K46" s="12" t="str">
        <x:v>2026-07-10</x:v>
      </x:c>
    </x:row>
    <x:row r="47">
      <x:c r="A47" s="12" t="str">
        <x:v>佐野山線</x:v>
      </x:c>
      <x:c r="B47" s="12" t="str">
        <x:v>千曲市</x:v>
      </x:c>
      <x:c r="C47" s="12" t="str">
        <x:v>H22-H26</x:v>
      </x:c>
      <x:c r="D47" s="12" t="str">
        <x:v>林道改良事業</x:v>
      </x:c>
      <x:c r="E47" s="12" t="str">
        <x:v>林道改良事業（舗装）</x:v>
      </x:c>
      <x:c r="F47" s="12" t="str">
        <x:v>H24～H26</x:v>
      </x:c>
      <x:c r="G47" s="12" t="str">
        <x:v>36000</x:v>
      </x:c>
      <x:c r="H47" s="12" t="str">
        <x:v>なし</x:v>
      </x:c>
      <x:c r="I47" s="12" t="str">
        <x:v>2</x:v>
      </x:c>
      <x:c r="J47" s="12" t="str">
        <x:v>https://www.pref.nagano.lg.jp/ringyo/documents/kyukeikaku.pdf</x:v>
      </x:c>
      <x:c r="K47" s="12" t="str">
        <x:v>2026-07-10</x:v>
      </x:c>
    </x:row>
    <x:row r="48">
      <x:c r="A48" s="12" t="str">
        <x:v>釜沢線</x:v>
      </x:c>
      <x:c r="B48" s="12" t="str">
        <x:v>大鹿村</x:v>
      </x:c>
      <x:c r="C48" s="12" t="str">
        <x:v>H22-H26</x:v>
      </x:c>
      <x:c r="D48" s="12" t="str">
        <x:v>林道改良事業</x:v>
      </x:c>
      <x:c r="E48" s="12" t="str">
        <x:v>林道改良事業（改良）</x:v>
      </x:c>
      <x:c r="F48" s="12" t="str">
        <x:v>H24～H26</x:v>
      </x:c>
      <x:c r="G48" s="12" t="str">
        <x:v>50000</x:v>
      </x:c>
      <x:c r="H48" s="12" t="str">
        <x:v>なし</x:v>
      </x:c>
      <x:c r="I48" s="12" t="str">
        <x:v>2</x:v>
      </x:c>
      <x:c r="J48" s="12" t="str">
        <x:v>https://www.pref.nagano.lg.jp/ringyo/documents/kyukeikaku.pdf</x:v>
      </x:c>
      <x:c r="K48" s="12" t="str">
        <x:v>2026-07-10</x:v>
      </x:c>
    </x:row>
    <x:row r="49">
      <x:c r="A49" s="12" t="str">
        <x:v>堂ヶ入線</x:v>
      </x:c>
      <x:c r="B49" s="12" t="str">
        <x:v>山形村</x:v>
      </x:c>
      <x:c r="C49" s="12" t="str">
        <x:v>H22-H26</x:v>
      </x:c>
      <x:c r="D49" s="12" t="str">
        <x:v>林道改良事業</x:v>
      </x:c>
      <x:c r="E49" s="12" t="str">
        <x:v>林道改良事業（改良）</x:v>
      </x:c>
      <x:c r="F49" s="12" t="str">
        <x:v>H25～H26</x:v>
      </x:c>
      <x:c r="G49" s="12" t="str">
        <x:v>65000</x:v>
      </x:c>
      <x:c r="H49" s="12" t="str">
        <x:v>なし</x:v>
      </x:c>
      <x:c r="I49" s="12" t="str">
        <x:v>2</x:v>
      </x:c>
      <x:c r="J49" s="12" t="str">
        <x:v>https://www.pref.nagano.lg.jp/ringyo/documents/kyukeikaku.pdf</x:v>
      </x:c>
      <x:c r="K49" s="12" t="str">
        <x:v>2026-07-10</x:v>
      </x:c>
    </x:row>
    <x:row r="50">
      <x:c r="A50" s="12" t="str">
        <x:v>黒川線</x:v>
      </x:c>
      <x:c r="B50" s="12" t="str">
        <x:v>松本市</x:v>
      </x:c>
      <x:c r="C50" s="12" t="str">
        <x:v>H22-H26</x:v>
      </x:c>
      <x:c r="D50" s="12" t="str">
        <x:v>林道改良事業</x:v>
      </x:c>
      <x:c r="E50" s="12" t="str">
        <x:v>林道改良事業（改良）</x:v>
      </x:c>
      <x:c r="F50" s="12" t="str">
        <x:v>H25～H26</x:v>
      </x:c>
      <x:c r="G50" s="12" t="str">
        <x:v>25000</x:v>
      </x:c>
      <x:c r="H50" s="12" t="str">
        <x:v>なし</x:v>
      </x:c>
      <x:c r="I50" s="12" t="str">
        <x:v>2</x:v>
      </x:c>
      <x:c r="J50" s="12" t="str">
        <x:v>https://www.pref.nagano.lg.jp/ringyo/documents/kyukeikaku.pdf</x:v>
      </x:c>
      <x:c r="K50" s="12" t="str">
        <x:v>2026-07-10</x:v>
      </x:c>
    </x:row>
    <x:row r="51">
      <x:c r="A51" s="12" t="str">
        <x:v>南アルプス線</x:v>
      </x:c>
      <x:c r="B51" s="12" t="str">
        <x:v>伊那市</x:v>
      </x:c>
      <x:c r="C51" s="12" t="str">
        <x:v>H22-H26</x:v>
      </x:c>
      <x:c r="D51" s="12" t="str">
        <x:v>林道改良事業</x:v>
      </x:c>
      <x:c r="E51" s="12" t="str">
        <x:v>林道改良事業（改良）</x:v>
      </x:c>
      <x:c r="F51" s="12" t="str">
        <x:v>H26</x:v>
      </x:c>
      <x:c r="G51" s="12" t="str">
        <x:v>35000</x:v>
      </x:c>
      <x:c r="H51" s="12" t="str">
        <x:v>なし</x:v>
      </x:c>
      <x:c r="I51" s="12" t="str">
        <x:v>2</x:v>
      </x:c>
      <x:c r="J51" s="12" t="str">
        <x:v>https://www.pref.nagano.lg.jp/ringyo/documents/kyukeikaku.pdf</x:v>
      </x:c>
      <x:c r="K51" s="12" t="str">
        <x:v>2026-07-10</x:v>
      </x:c>
    </x:row>
    <x:row r="52">
      <x:c r="A52" s="12" t="str">
        <x:v>八久保峠線</x:v>
      </x:c>
      <x:c r="B52" s="12" t="str">
        <x:v>木曽町</x:v>
      </x:c>
      <x:c r="C52" s="12" t="str">
        <x:v>H22-H26</x:v>
      </x:c>
      <x:c r="D52" s="12" t="str">
        <x:v>林道改良事業</x:v>
      </x:c>
      <x:c r="E52" s="12" t="str">
        <x:v>林道改良事業（改良）</x:v>
      </x:c>
      <x:c r="F52" s="12" t="str">
        <x:v>H26</x:v>
      </x:c>
      <x:c r="G52" s="12" t="str">
        <x:v>25000</x:v>
      </x:c>
      <x:c r="H52" s="12" t="str">
        <x:v>なし</x:v>
      </x:c>
      <x:c r="I52" s="12" t="str">
        <x:v>3</x:v>
      </x:c>
      <x:c r="J52" s="12" t="str">
        <x:v>https://www.pref.nagano.lg.jp/ringyo/documents/kyukeikaku.pdf</x:v>
      </x:c>
      <x:c r="K52" s="12" t="str">
        <x:v>2026-07-10</x:v>
      </x:c>
    </x:row>
    <x:row r="53">
      <x:c r="A53" s="12" t="str">
        <x:v>湯ノ原線</x:v>
      </x:c>
      <x:c r="B53" s="12" t="str">
        <x:v>松本市</x:v>
      </x:c>
      <x:c r="C53" s="12" t="str">
        <x:v>H22-H26</x:v>
      </x:c>
      <x:c r="D53" s="12" t="str">
        <x:v>林道改良事業</x:v>
      </x:c>
      <x:c r="E53" s="12" t="str">
        <x:v>林道改良事業（改良）</x:v>
      </x:c>
      <x:c r="F53" s="12" t="str">
        <x:v>H26</x:v>
      </x:c>
      <x:c r="G53" s="12" t="str">
        <x:v>20000</x:v>
      </x:c>
      <x:c r="H53" s="12" t="str">
        <x:v>なし</x:v>
      </x:c>
      <x:c r="I53" s="12" t="str">
        <x:v>3</x:v>
      </x:c>
      <x:c r="J53" s="12" t="str">
        <x:v>https://www.pref.nagano.lg.jp/ringyo/documents/kyukeikaku.pdf</x:v>
      </x:c>
      <x:c r="K53" s="12" t="str">
        <x:v>2026-07-10</x:v>
      </x:c>
    </x:row>
    <x:row r="54">
      <x:c r="A54" s="12" t="str">
        <x:v>片丘南部線</x:v>
      </x:c>
      <x:c r="B54" s="12" t="str">
        <x:v>塩尻市</x:v>
      </x:c>
      <x:c r="C54" s="12" t="str">
        <x:v>H22-H26</x:v>
      </x:c>
      <x:c r="D54" s="12" t="str">
        <x:v>育成林整備事業</x:v>
      </x:c>
      <x:c r="E54" s="12" t="str">
        <x:v>育成林整備事業（林道開設）</x:v>
      </x:c>
      <x:c r="F54" s="12" t="str">
        <x:v>H26</x:v>
      </x:c>
      <x:c r="G54" s="12" t="str">
        <x:v>40000</x:v>
      </x:c>
      <x:c r="H54" s="12" t="str">
        <x:v>なし</x:v>
      </x:c>
      <x:c r="I54" s="12" t="str">
        <x:v>3</x:v>
      </x:c>
      <x:c r="J54" s="12" t="str">
        <x:v>https://www.pref.nagano.lg.jp/ringyo/documents/kyukeikaku.pdf</x:v>
      </x:c>
      <x:c r="K54" s="12" t="str">
        <x:v>2026-07-10</x:v>
      </x:c>
    </x:row>
    <x:row r="55">
      <x:c r="A55" s="12" t="str">
        <x:v>中原入線</x:v>
      </x:c>
      <x:c r="B55" s="12" t="str">
        <x:v>千曲市</x:v>
      </x:c>
      <x:c r="C55" s="12" t="str">
        <x:v>H22-H26</x:v>
      </x:c>
      <x:c r="D55" s="12" t="str">
        <x:v>林道改良事業</x:v>
      </x:c>
      <x:c r="E55" s="12" t="str">
        <x:v>林道改良事業（舗装）</x:v>
      </x:c>
      <x:c r="F55" s="12" t="str">
        <x:v>H26</x:v>
      </x:c>
      <x:c r="G55" s="12" t="str">
        <x:v>30000</x:v>
      </x:c>
      <x:c r="H55" s="12" t="str">
        <x:v>なし</x:v>
      </x:c>
      <x:c r="I55" s="12" t="str">
        <x:v>3</x:v>
      </x:c>
      <x:c r="J55" s="12" t="str">
        <x:v>https://www.pref.nagano.lg.jp/ringyo/documents/kyukeikaku.pdf</x:v>
      </x:c>
      <x:c r="K55" s="12" t="str">
        <x:v>2026-07-10</x:v>
      </x:c>
    </x:row>
    <x:row r="56">
      <x:c r="A56" s="12" t="str">
        <x:v>妙高小谷線</x:v>
      </x:c>
      <x:c r="B56" s="12" t="str">
        <x:v>小谷村</x:v>
      </x:c>
      <x:c r="C56" s="12" t="str">
        <x:v>H22-H26</x:v>
      </x:c>
      <x:c r="D56" s="12" t="str">
        <x:v>林道改良事業</x:v>
      </x:c>
      <x:c r="E56" s="12" t="str">
        <x:v>林道改良事業（改良）</x:v>
      </x:c>
      <x:c r="F56" s="12" t="str">
        <x:v>H26</x:v>
      </x:c>
      <x:c r="G56" s="12" t="str">
        <x:v>30000</x:v>
      </x:c>
      <x:c r="H56" s="12" t="str">
        <x:v>なし</x:v>
      </x:c>
      <x:c r="I56" s="12" t="str">
        <x:v>3</x:v>
      </x:c>
      <x:c r="J56" s="12" t="str">
        <x:v>https://www.pref.nagano.lg.jp/ringyo/documents/kyukeikaku.pdf</x:v>
      </x:c>
      <x:c r="K56" s="12" t="str">
        <x:v>2026-07-10</x:v>
      </x:c>
    </x:row>
    <x:row r="57">
      <x:c r="A57" s="12" t="str">
        <x:v>烏川線</x:v>
      </x:c>
      <x:c r="B57" s="12" t="str">
        <x:v>安曇野市</x:v>
      </x:c>
      <x:c r="C57" s="12" t="str">
        <x:v>H22-H26</x:v>
      </x:c>
      <x:c r="D57" s="12" t="str"/>
      <x:c r="E57" s="12" t="str">
        <x:v>林道改良事業（改良）</x:v>
      </x:c>
      <x:c r="F57" s="12" t="str">
        <x:v>H24</x:v>
      </x:c>
      <x:c r="G57" s="12" t="str">
        <x:v>26500</x:v>
      </x:c>
      <x:c r="H57" s="12" t="str">
        <x:v>なし</x:v>
      </x:c>
      <x:c r="I57" s="12" t="str">
        <x:v>3</x:v>
      </x:c>
      <x:c r="J57" s="12" t="str">
        <x:v>https://www.pref.nagano.lg.jp/ringyo/documents/kyukeikaku.pdf</x:v>
      </x:c>
      <x:c r="K57" s="12" t="str">
        <x:v>2026-07-10</x:v>
      </x:c>
    </x:row>
    <x:row r="58">
      <x:c r="A58" s="12" t="str">
        <x:v>秋山線</x:v>
      </x:c>
      <x:c r="B58" s="12" t="str">
        <x:v>栄村</x:v>
      </x:c>
      <x:c r="C58" s="12" t="str">
        <x:v>H22-H26</x:v>
      </x:c>
      <x:c r="D58" s="12" t="str"/>
      <x:c r="E58" s="12" t="str">
        <x:v>林道改良事業（改良）</x:v>
      </x:c>
      <x:c r="F58" s="12" t="str">
        <x:v>H24～H26</x:v>
      </x:c>
      <x:c r="G58" s="12" t="str">
        <x:v>55000</x:v>
      </x:c>
      <x:c r="H58" s="12" t="str">
        <x:v>なし</x:v>
      </x:c>
      <x:c r="I58" s="12" t="str">
        <x:v>3</x:v>
      </x:c>
      <x:c r="J58" s="12" t="str">
        <x:v>https://www.pref.nagano.lg.jp/ringyo/documents/kyukeikaku.pdf</x:v>
      </x:c>
      <x:c r="K58" s="12" t="str">
        <x:v>2026-07-10</x:v>
      </x:c>
    </x:row>
    <x:row r="59">
      <x:c r="A59" s="12" t="str">
        <x:v>横根山線</x:v>
      </x:c>
      <x:c r="B59" s="12" t="str">
        <x:v>飯島町</x:v>
      </x:c>
      <x:c r="C59" s="12" t="str">
        <x:v>H22-H26</x:v>
      </x:c>
      <x:c r="D59" s="12" t="str"/>
      <x:c r="E59" s="12" t="str">
        <x:v>林道改良事業（改良）</x:v>
      </x:c>
      <x:c r="F59" s="12" t="str">
        <x:v>H24～H26</x:v>
      </x:c>
      <x:c r="G59" s="12" t="str">
        <x:v>60000</x:v>
      </x:c>
      <x:c r="H59" s="12" t="str">
        <x:v>なし</x:v>
      </x:c>
      <x:c r="I59" s="12" t="str">
        <x:v>3</x:v>
      </x:c>
      <x:c r="J59" s="12" t="str">
        <x:v>https://www.pref.nagano.lg.jp/ringyo/documents/kyukeikaku.pdf</x:v>
      </x:c>
      <x:c r="K59" s="12" t="str">
        <x:v>2026-07-10</x:v>
      </x:c>
    </x:row>
    <x:row r="60">
      <x:c r="A60" s="12" t="str">
        <x:v>陣馬形線</x:v>
      </x:c>
      <x:c r="B60" s="12" t="str">
        <x:v>中川村</x:v>
      </x:c>
      <x:c r="C60" s="12" t="str">
        <x:v>H22-H26</x:v>
      </x:c>
      <x:c r="D60" s="12" t="str"/>
      <x:c r="E60" s="12" t="str">
        <x:v>林道改良事業（舗装）</x:v>
      </x:c>
      <x:c r="F60" s="12" t="str">
        <x:v>H24～H26</x:v>
      </x:c>
      <x:c r="G60" s="12" t="str">
        <x:v>110000</x:v>
      </x:c>
      <x:c r="H60" s="12" t="str">
        <x:v>なし</x:v>
      </x:c>
      <x:c r="I60" s="12" t="str">
        <x:v>3</x:v>
      </x:c>
      <x:c r="J60" s="12" t="str">
        <x:v>https://www.pref.nagano.lg.jp/ringyo/documents/kyukeikaku.pdf</x:v>
      </x:c>
      <x:c r="K60" s="12" t="str">
        <x:v>2026-07-10</x:v>
      </x:c>
    </x:row>
    <x:row r="61">
      <x:c r="A61" s="12" t="str">
        <x:v>黒牛折草峠線</x:v>
      </x:c>
      <x:c r="B61" s="12" t="str">
        <x:v>中川村</x:v>
      </x:c>
      <x:c r="C61" s="12" t="str">
        <x:v>H22-H26</x:v>
      </x:c>
      <x:c r="D61" s="12" t="str"/>
      <x:c r="E61" s="12" t="str">
        <x:v>林道改良事業（舗装）</x:v>
      </x:c>
      <x:c r="F61" s="12" t="str">
        <x:v>H24～H26</x:v>
      </x:c>
      <x:c r="G61" s="12" t="str">
        <x:v>85000</x:v>
      </x:c>
      <x:c r="H61" s="12" t="str">
        <x:v>なし</x:v>
      </x:c>
      <x:c r="I61" s="12" t="str">
        <x:v>3</x:v>
      </x:c>
      <x:c r="J61" s="12" t="str">
        <x:v>https://www.pref.nagano.lg.jp/ringyo/documents/kyukeikaku.pdf</x:v>
      </x:c>
      <x:c r="K61" s="12" t="str">
        <x:v>2026-07-10</x:v>
      </x:c>
    </x:row>
    <x:row r="62">
      <x:c r="A62" s="12" t="str">
        <x:v>清水平線</x:v>
      </x:c>
      <x:c r="B62" s="12" t="str">
        <x:v>木島平村</x:v>
      </x:c>
      <x:c r="C62" s="12" t="str">
        <x:v>H22-H26</x:v>
      </x:c>
      <x:c r="D62" s="12" t="str"/>
      <x:c r="E62" s="12" t="str">
        <x:v>林道改良事業（改良）</x:v>
      </x:c>
      <x:c r="F62" s="12" t="str">
        <x:v>H24～H26</x:v>
      </x:c>
      <x:c r="G62" s="12" t="str">
        <x:v>60000</x:v>
      </x:c>
      <x:c r="H62" s="12" t="str">
        <x:v>なし</x:v>
      </x:c>
      <x:c r="I62" s="12" t="str">
        <x:v>3</x:v>
      </x:c>
      <x:c r="J62" s="12" t="str">
        <x:v>https://www.pref.nagano.lg.jp/ringyo/documents/kyukeikaku.pdf</x:v>
      </x:c>
      <x:c r="K62" s="12" t="str">
        <x:v>2026-07-10</x:v>
      </x:c>
    </x:row>
    <x:row r="63">
      <x:c r="A63" s="12" t="str">
        <x:v>長谷高遠線</x:v>
      </x:c>
      <x:c r="B63" s="12" t="str">
        <x:v>伊那市</x:v>
      </x:c>
      <x:c r="C63" s="12" t="str">
        <x:v>H27-H31</x:v>
      </x:c>
      <x:c r="D63" s="12" t="str">
        <x:v>フォレストコミュニティ総合整備事業</x:v>
      </x:c>
      <x:c r="E63" s="12" t="str">
        <x:v>フォレストコミュニティ総合整備事業（林道開設）</x:v>
      </x:c>
      <x:c r="F63" s="12" t="str">
        <x:v>H27～H31</x:v>
      </x:c>
      <x:c r="G63" s="12" t="str">
        <x:v>500000</x:v>
      </x:c>
      <x:c r="H63" s="12" t="str">
        <x:v>なし</x:v>
      </x:c>
      <x:c r="I63" s="12" t="str">
        <x:v>1</x:v>
      </x:c>
      <x:c r="J63" s="12" t="str">
        <x:v>https://www.pref.nagano.lg.jp/ringyo/documents/keikaku01.pdf</x:v>
      </x:c>
      <x:c r="K63" s="12" t="str">
        <x:v>2026-07-10</x:v>
      </x:c>
    </x:row>
    <x:row r="64">
      <x:c r="A64" s="12" t="str">
        <x:v>高森山線</x:v>
      </x:c>
      <x:c r="B64" s="12" t="str">
        <x:v>大鹿村</x:v>
      </x:c>
      <x:c r="C64" s="12" t="str">
        <x:v>H27-H31</x:v>
      </x:c>
      <x:c r="D64" s="12" t="str">
        <x:v>フォレストコミュニティ総合整備事業</x:v>
      </x:c>
      <x:c r="E64" s="12" t="str">
        <x:v>フォレストコミュニティ総合整備事業（林道開設）</x:v>
      </x:c>
      <x:c r="F64" s="12" t="str">
        <x:v>H27～H31</x:v>
      </x:c>
      <x:c r="G64" s="12" t="str">
        <x:v>160000</x:v>
      </x:c>
      <x:c r="H64" s="12" t="str">
        <x:v>なし</x:v>
      </x:c>
      <x:c r="I64" s="12" t="str">
        <x:v>1</x:v>
      </x:c>
      <x:c r="J64" s="12" t="str">
        <x:v>https://www.pref.nagano.lg.jp/ringyo/documents/keikaku01.pdf</x:v>
      </x:c>
      <x:c r="K64" s="12" t="str">
        <x:v>2026-07-10</x:v>
      </x:c>
    </x:row>
    <x:row r="65">
      <x:c r="A65" s="12" t="str">
        <x:v>天白高烏谷線</x:v>
      </x:c>
      <x:c r="B65" s="12" t="str">
        <x:v>駒ヶ根市</x:v>
      </x:c>
      <x:c r="C65" s="12" t="str">
        <x:v>H27-H31</x:v>
      </x:c>
      <x:c r="D65" s="12" t="str">
        <x:v>育成林整備事業</x:v>
      </x:c>
      <x:c r="E65" s="12" t="str">
        <x:v>育成林整備事業（林道開設）</x:v>
      </x:c>
      <x:c r="F65" s="12" t="str">
        <x:v>H27～H31</x:v>
      </x:c>
      <x:c r="G65" s="12" t="str">
        <x:v>99500</x:v>
      </x:c>
      <x:c r="H65" s="12" t="str">
        <x:v>なし</x:v>
      </x:c>
      <x:c r="I65" s="12" t="str">
        <x:v>1</x:v>
      </x:c>
      <x:c r="J65" s="12" t="str">
        <x:v>https://www.pref.nagano.lg.jp/ringyo/documents/keikaku01.pdf</x:v>
      </x:c>
      <x:c r="K65" s="12" t="str">
        <x:v>2026-07-10</x:v>
      </x:c>
    </x:row>
    <x:row r="66">
      <x:c r="A66" s="12" t="str">
        <x:v>千代田湖枯木線</x:v>
      </x:c>
      <x:c r="B66" s="12" t="str">
        <x:v>伊那市</x:v>
      </x:c>
      <x:c r="C66" s="12" t="str">
        <x:v>H27-H31</x:v>
      </x:c>
      <x:c r="D66" s="12" t="str">
        <x:v>林道改良事業</x:v>
      </x:c>
      <x:c r="E66" s="12" t="str">
        <x:v>林道改良事業（改良）</x:v>
      </x:c>
      <x:c r="F66" s="12" t="str">
        <x:v>H27～H30</x:v>
      </x:c>
      <x:c r="G66" s="12" t="str">
        <x:v>48400</x:v>
      </x:c>
      <x:c r="H66" s="12" t="str">
        <x:v>なし</x:v>
      </x:c>
      <x:c r="I66" s="12" t="str">
        <x:v>1</x:v>
      </x:c>
      <x:c r="J66" s="12" t="str">
        <x:v>https://www.pref.nagano.lg.jp/ringyo/documents/keikaku01.pdf</x:v>
      </x:c>
      <x:c r="K66" s="12" t="str">
        <x:v>2026-07-10</x:v>
      </x:c>
    </x:row>
    <x:row r="67">
      <x:c r="A67" s="12" t="str">
        <x:v>古城線</x:v>
      </x:c>
      <x:c r="B67" s="12" t="str">
        <x:v>駒ヶ根市</x:v>
      </x:c>
      <x:c r="C67" s="12" t="str">
        <x:v>H27-H31</x:v>
      </x:c>
      <x:c r="D67" s="12" t="str">
        <x:v>林道改良事業</x:v>
      </x:c>
      <x:c r="E67" s="12" t="str">
        <x:v>林道改良事業（改良）</x:v>
      </x:c>
      <x:c r="F67" s="12" t="str">
        <x:v>H27～H30</x:v>
      </x:c>
      <x:c r="G67" s="12" t="str">
        <x:v>58800</x:v>
      </x:c>
      <x:c r="H67" s="12" t="str">
        <x:v>なし</x:v>
      </x:c>
      <x:c r="I67" s="12" t="str">
        <x:v>1</x:v>
      </x:c>
      <x:c r="J67" s="12" t="str">
        <x:v>https://www.pref.nagano.lg.jp/ringyo/documents/keikaku01.pdf</x:v>
      </x:c>
      <x:c r="K67" s="12" t="str">
        <x:v>2026-07-10</x:v>
      </x:c>
    </x:row>
    <x:row r="68">
      <x:c r="A68" s="12" t="str">
        <x:v>南アルプス線</x:v>
      </x:c>
      <x:c r="B68" s="12" t="str">
        <x:v>伊那市</x:v>
      </x:c>
      <x:c r="C68" s="12" t="str">
        <x:v>H27-H31</x:v>
      </x:c>
      <x:c r="D68" s="12" t="str">
        <x:v>林道改良事業</x:v>
      </x:c>
      <x:c r="E68" s="12" t="str">
        <x:v>林道改良事業（改良）</x:v>
      </x:c>
      <x:c r="F68" s="12" t="str">
        <x:v>H27～H30</x:v>
      </x:c>
      <x:c r="G68" s="12" t="str">
        <x:v>107400</x:v>
      </x:c>
      <x:c r="H68" s="12" t="str">
        <x:v>なし</x:v>
      </x:c>
      <x:c r="I68" s="12" t="str">
        <x:v>1</x:v>
      </x:c>
      <x:c r="J68" s="12" t="str">
        <x:v>https://www.pref.nagano.lg.jp/ringyo/documents/keikaku01.pdf</x:v>
      </x:c>
      <x:c r="K68" s="12" t="str">
        <x:v>2026-07-10</x:v>
      </x:c>
    </x:row>
    <x:row r="69">
      <x:c r="A69" s="12" t="str">
        <x:v>陣馬形線</x:v>
      </x:c>
      <x:c r="B69" s="12" t="str">
        <x:v>中川村</x:v>
      </x:c>
      <x:c r="C69" s="12" t="str">
        <x:v>H27-H31</x:v>
      </x:c>
      <x:c r="D69" s="12" t="str">
        <x:v>林道改良事業</x:v>
      </x:c>
      <x:c r="E69" s="12" t="str">
        <x:v>林道改良事業（改良）</x:v>
      </x:c>
      <x:c r="F69" s="12" t="str">
        <x:v>H27～H30</x:v>
      </x:c>
      <x:c r="G69" s="12" t="str">
        <x:v>43300</x:v>
      </x:c>
      <x:c r="H69" s="12" t="str">
        <x:v>なし</x:v>
      </x:c>
      <x:c r="I69" s="12" t="str">
        <x:v>1</x:v>
      </x:c>
      <x:c r="J69" s="12" t="str">
        <x:v>https://www.pref.nagano.lg.jp/ringyo/documents/keikaku01.pdf</x:v>
      </x:c>
      <x:c r="K69" s="12" t="str">
        <x:v>2026-07-10</x:v>
      </x:c>
    </x:row>
    <x:row r="70">
      <x:c r="A70" s="12" t="str">
        <x:v>間沢川線</x:v>
      </x:c>
      <x:c r="B70" s="12" t="str">
        <x:v>松川町</x:v>
      </x:c>
      <x:c r="C70" s="12" t="str">
        <x:v>H27-H31</x:v>
      </x:c>
      <x:c r="D70" s="12" t="str">
        <x:v>林道改良事業</x:v>
      </x:c>
      <x:c r="E70" s="12" t="str">
        <x:v>林道改良事業（改良）</x:v>
      </x:c>
      <x:c r="F70" s="12" t="str">
        <x:v>H27</x:v>
      </x:c>
      <x:c r="G70" s="12" t="str">
        <x:v>13500</x:v>
      </x:c>
      <x:c r="H70" s="12" t="str">
        <x:v>なし</x:v>
      </x:c>
      <x:c r="I70" s="12" t="str">
        <x:v>1</x:v>
      </x:c>
      <x:c r="J70" s="12" t="str">
        <x:v>https://www.pref.nagano.lg.jp/ringyo/documents/keikaku01.pdf</x:v>
      </x:c>
      <x:c r="K70" s="12" t="str">
        <x:v>2026-07-10</x:v>
      </x:c>
    </x:row>
    <x:row r="71">
      <x:c r="A71" s="12" t="str">
        <x:v>桧沢和合路線</x:v>
      </x:c>
      <x:c r="B71" s="12" t="str">
        <x:v>飯田市</x:v>
      </x:c>
      <x:c r="C71" s="12" t="str">
        <x:v>H27-H31</x:v>
      </x:c>
      <x:c r="D71" s="12" t="str">
        <x:v>林道改良事業</x:v>
      </x:c>
      <x:c r="E71" s="12" t="str">
        <x:v>林道改良事業（改良）</x:v>
      </x:c>
      <x:c r="F71" s="12" t="str">
        <x:v>H27～H28</x:v>
      </x:c>
      <x:c r="G71" s="12" t="str">
        <x:v>35400</x:v>
      </x:c>
      <x:c r="H71" s="12" t="str">
        <x:v>なし</x:v>
      </x:c>
      <x:c r="I71" s="12" t="str">
        <x:v>1</x:v>
      </x:c>
      <x:c r="J71" s="12" t="str">
        <x:v>https://www.pref.nagano.lg.jp/ringyo/documents/keikaku01.pdf</x:v>
      </x:c>
      <x:c r="K71" s="12" t="str">
        <x:v>2026-07-10</x:v>
      </x:c>
    </x:row>
    <x:row r="72">
      <x:c r="A72" s="12" t="str">
        <x:v>万古川線</x:v>
      </x:c>
      <x:c r="B72" s="12" t="str">
        <x:v>泰阜村</x:v>
      </x:c>
      <x:c r="C72" s="12" t="str">
        <x:v>H27-H31</x:v>
      </x:c>
      <x:c r="D72" s="12" t="str">
        <x:v>林道改良事業</x:v>
      </x:c>
      <x:c r="E72" s="12" t="str">
        <x:v>林道改良事業（改良）</x:v>
      </x:c>
      <x:c r="F72" s="12" t="str">
        <x:v>H27～H29</x:v>
      </x:c>
      <x:c r="G72" s="12" t="str">
        <x:v>33000</x:v>
      </x:c>
      <x:c r="H72" s="12" t="str">
        <x:v>なし</x:v>
      </x:c>
      <x:c r="I72" s="12" t="str">
        <x:v>1</x:v>
      </x:c>
      <x:c r="J72" s="12" t="str">
        <x:v>https://www.pref.nagano.lg.jp/ringyo/documents/keikaku01.pdf</x:v>
      </x:c>
      <x:c r="K72" s="12" t="str">
        <x:v>2026-07-10</x:v>
      </x:c>
    </x:row>
    <x:row r="73">
      <x:c r="A73" s="12" t="str">
        <x:v>中峰黒川線</x:v>
      </x:c>
      <x:c r="B73" s="12" t="str">
        <x:v>大鹿村</x:v>
      </x:c>
      <x:c r="C73" s="12" t="str">
        <x:v>H27-H31</x:v>
      </x:c>
      <x:c r="D73" s="12" t="str">
        <x:v>林道改良事業</x:v>
      </x:c>
      <x:c r="E73" s="12" t="str">
        <x:v>林道改良事業（改良）</x:v>
      </x:c>
      <x:c r="F73" s="12" t="str">
        <x:v>H27～H29</x:v>
      </x:c>
      <x:c r="G73" s="12" t="str">
        <x:v>115412</x:v>
      </x:c>
      <x:c r="H73" s="12" t="str">
        <x:v>なし</x:v>
      </x:c>
      <x:c r="I73" s="12" t="str">
        <x:v>1</x:v>
      </x:c>
      <x:c r="J73" s="12" t="str">
        <x:v>https://www.pref.nagano.lg.jp/ringyo/documents/keikaku01.pdf</x:v>
      </x:c>
      <x:c r="K73" s="12" t="str">
        <x:v>2026-07-10</x:v>
      </x:c>
    </x:row>
    <x:row r="74">
      <x:c r="A74" s="12" t="str">
        <x:v>押の沢線</x:v>
      </x:c>
      <x:c r="B74" s="12" t="str">
        <x:v>飯田市</x:v>
      </x:c>
      <x:c r="C74" s="12" t="str">
        <x:v>H27-H31</x:v>
      </x:c>
      <x:c r="D74" s="12" t="str">
        <x:v>林道改良事業</x:v>
      </x:c>
      <x:c r="E74" s="12" t="str">
        <x:v>林道改良事業（改良）</x:v>
      </x:c>
      <x:c r="F74" s="12" t="str">
        <x:v>H27</x:v>
      </x:c>
      <x:c r="G74" s="12" t="str">
        <x:v>18500</x:v>
      </x:c>
      <x:c r="H74" s="12" t="str">
        <x:v>なし</x:v>
      </x:c>
      <x:c r="I74" s="12" t="str">
        <x:v>1</x:v>
      </x:c>
      <x:c r="J74" s="12" t="str">
        <x:v>https://www.pref.nagano.lg.jp/ringyo/documents/keikaku01.pdf</x:v>
      </x:c>
      <x:c r="K74" s="12" t="str">
        <x:v>2026-07-10</x:v>
      </x:c>
    </x:row>
    <x:row r="75">
      <x:c r="A75" s="12" t="str">
        <x:v>鳥倉線</x:v>
      </x:c>
      <x:c r="B75" s="12" t="str">
        <x:v>大鹿村</x:v>
      </x:c>
      <x:c r="C75" s="12" t="str">
        <x:v>H27-H31</x:v>
      </x:c>
      <x:c r="D75" s="12" t="str">
        <x:v>林道改良事業</x:v>
      </x:c>
      <x:c r="E75" s="12" t="str">
        <x:v>林道改良事業（改良）</x:v>
      </x:c>
      <x:c r="F75" s="12" t="str">
        <x:v>H27～H31</x:v>
      </x:c>
      <x:c r="G75" s="12" t="str">
        <x:v>97000</x:v>
      </x:c>
      <x:c r="H75" s="12" t="str">
        <x:v>なし</x:v>
      </x:c>
      <x:c r="I75" s="12" t="str">
        <x:v>2</x:v>
      </x:c>
      <x:c r="J75" s="12" t="str">
        <x:v>https://www.pref.nagano.lg.jp/ringyo/documents/keikaku01.pdf</x:v>
      </x:c>
      <x:c r="K75" s="12" t="str">
        <x:v>2026-07-10</x:v>
      </x:c>
    </x:row>
    <x:row r="76">
      <x:c r="A76" s="12" t="str">
        <x:v>釜沢線</x:v>
      </x:c>
      <x:c r="B76" s="12" t="str">
        <x:v>大鹿村</x:v>
      </x:c>
      <x:c r="C76" s="12" t="str">
        <x:v>H27-H31</x:v>
      </x:c>
      <x:c r="D76" s="12" t="str">
        <x:v>林道改良事業</x:v>
      </x:c>
      <x:c r="E76" s="12" t="str">
        <x:v>林道改良事業（改良）</x:v>
      </x:c>
      <x:c r="F76" s="12" t="str">
        <x:v>H27</x:v>
      </x:c>
      <x:c r="G76" s="12" t="str">
        <x:v>10100</x:v>
      </x:c>
      <x:c r="H76" s="12" t="str">
        <x:v>なし</x:v>
      </x:c>
      <x:c r="I76" s="12" t="str">
        <x:v>2</x:v>
      </x:c>
      <x:c r="J76" s="12" t="str">
        <x:v>https://www.pref.nagano.lg.jp/ringyo/documents/keikaku01.pdf</x:v>
      </x:c>
      <x:c r="K76" s="12" t="str">
        <x:v>2026-07-10</x:v>
      </x:c>
    </x:row>
    <x:row r="77">
      <x:c r="A77" s="12" t="str">
        <x:v>虫川新野峠線</x:v>
      </x:c>
      <x:c r="B77" s="12" t="str">
        <x:v>天龍村</x:v>
      </x:c>
      <x:c r="C77" s="12" t="str">
        <x:v>H27-H31</x:v>
      </x:c>
      <x:c r="D77" s="12" t="str">
        <x:v>林道改良事業</x:v>
      </x:c>
      <x:c r="E77" s="12" t="str">
        <x:v>林道改良事業（改良）</x:v>
      </x:c>
      <x:c r="F77" s="12" t="str">
        <x:v>H27～H28</x:v>
      </x:c>
      <x:c r="G77" s="12" t="str">
        <x:v>20000</x:v>
      </x:c>
      <x:c r="H77" s="12" t="str">
        <x:v>なし</x:v>
      </x:c>
      <x:c r="I77" s="12" t="str">
        <x:v>2</x:v>
      </x:c>
      <x:c r="J77" s="12" t="str">
        <x:v>https://www.pref.nagano.lg.jp/ringyo/documents/keikaku01.pdf</x:v>
      </x:c>
      <x:c r="K77" s="12" t="str">
        <x:v>2026-07-10</x:v>
      </x:c>
    </x:row>
    <x:row r="78">
      <x:c r="A78" s="12" t="str">
        <x:v>虫川新野線</x:v>
      </x:c>
      <x:c r="B78" s="12" t="str">
        <x:v>天龍村</x:v>
      </x:c>
      <x:c r="C78" s="12" t="str">
        <x:v>H27-H31</x:v>
      </x:c>
      <x:c r="D78" s="12" t="str">
        <x:v>林道改良事業</x:v>
      </x:c>
      <x:c r="E78" s="12" t="str">
        <x:v>林道改良事業（舗装）</x:v>
      </x:c>
      <x:c r="F78" s="12" t="str">
        <x:v>H27～H31</x:v>
      </x:c>
      <x:c r="G78" s="12" t="str">
        <x:v>152000</x:v>
      </x:c>
      <x:c r="H78" s="12" t="str">
        <x:v>なし</x:v>
      </x:c>
      <x:c r="I78" s="12" t="str">
        <x:v>2</x:v>
      </x:c>
      <x:c r="J78" s="12" t="str">
        <x:v>https://www.pref.nagano.lg.jp/ringyo/documents/keikaku01.pdf</x:v>
      </x:c>
      <x:c r="K78" s="12" t="str">
        <x:v>2026-07-10</x:v>
      </x:c>
    </x:row>
    <x:row r="79">
      <x:c r="A79" s="12" t="str">
        <x:v>塩沢線</x:v>
      </x:c>
      <x:c r="B79" s="12" t="str">
        <x:v>木祖村</x:v>
      </x:c>
      <x:c r="C79" s="12" t="str">
        <x:v>H27-H31</x:v>
      </x:c>
      <x:c r="D79" s="12" t="str">
        <x:v>林道改良事業</x:v>
      </x:c>
      <x:c r="E79" s="12" t="str">
        <x:v>林道改良事業（舗装）</x:v>
      </x:c>
      <x:c r="F79" s="12" t="str">
        <x:v>H27～H29</x:v>
      </x:c>
      <x:c r="G79" s="12" t="str">
        <x:v>43000</x:v>
      </x:c>
      <x:c r="H79" s="12" t="str">
        <x:v>なし</x:v>
      </x:c>
      <x:c r="I79" s="12" t="str">
        <x:v>2</x:v>
      </x:c>
      <x:c r="J79" s="12" t="str">
        <x:v>https://www.pref.nagano.lg.jp/ringyo/documents/keikaku01.pdf</x:v>
      </x:c>
      <x:c r="K79" s="12" t="str">
        <x:v>2026-07-10</x:v>
      </x:c>
    </x:row>
    <x:row r="80">
      <x:c r="A80" s="12" t="str">
        <x:v>栗の木線</x:v>
      </x:c>
      <x:c r="B80" s="12" t="str">
        <x:v>松本市</x:v>
      </x:c>
      <x:c r="C80" s="12" t="str">
        <x:v>H27-H31</x:v>
      </x:c>
      <x:c r="D80" s="12" t="str">
        <x:v>育成林整備事業</x:v>
      </x:c>
      <x:c r="E80" s="12" t="str">
        <x:v>育成林整備事業（林道開設）</x:v>
      </x:c>
      <x:c r="F80" s="12" t="str">
        <x:v>H27～H28</x:v>
      </x:c>
      <x:c r="G80" s="12" t="str">
        <x:v>38700</x:v>
      </x:c>
      <x:c r="H80" s="12" t="str">
        <x:v>なし</x:v>
      </x:c>
      <x:c r="I80" s="12" t="str">
        <x:v>2</x:v>
      </x:c>
      <x:c r="J80" s="12" t="str">
        <x:v>https://www.pref.nagano.lg.jp/ringyo/documents/keikaku01.pdf</x:v>
      </x:c>
      <x:c r="K80" s="12" t="str">
        <x:v>2026-07-10</x:v>
      </x:c>
    </x:row>
    <x:row r="81">
      <x:c r="A81" s="12" t="str">
        <x:v>高遠線</x:v>
      </x:c>
      <x:c r="B81" s="12" t="str">
        <x:v>松本市</x:v>
      </x:c>
      <x:c r="C81" s="12" t="str">
        <x:v>H27-H31</x:v>
      </x:c>
      <x:c r="D81" s="12" t="str">
        <x:v>育成林整備事業</x:v>
      </x:c>
      <x:c r="E81" s="12" t="str">
        <x:v>育成林整備事業（林道開設）</x:v>
      </x:c>
      <x:c r="F81" s="12" t="str">
        <x:v>H27～H31</x:v>
      </x:c>
      <x:c r="G81" s="12" t="str">
        <x:v>103186</x:v>
      </x:c>
      <x:c r="H81" s="12" t="str">
        <x:v>なし</x:v>
      </x:c>
      <x:c r="I81" s="12" t="str">
        <x:v>2</x:v>
      </x:c>
      <x:c r="J81" s="12" t="str">
        <x:v>https://www.pref.nagano.lg.jp/ringyo/documents/keikaku01.pdf</x:v>
      </x:c>
      <x:c r="K81" s="12" t="str">
        <x:v>2026-07-10</x:v>
      </x:c>
    </x:row>
    <x:row r="82">
      <x:c r="A82" s="12" t="str">
        <x:v>美ヶ原線</x:v>
      </x:c>
      <x:c r="B82" s="12" t="str">
        <x:v>松本市</x:v>
      </x:c>
      <x:c r="C82" s="12" t="str">
        <x:v>H27-H31</x:v>
      </x:c>
      <x:c r="D82" s="12" t="str">
        <x:v>林道改良事業</x:v>
      </x:c>
      <x:c r="E82" s="12" t="str">
        <x:v>林道改良事業（改良）</x:v>
      </x:c>
      <x:c r="F82" s="12" t="str">
        <x:v>H27～H31</x:v>
      </x:c>
      <x:c r="G82" s="12" t="str">
        <x:v>106300</x:v>
      </x:c>
      <x:c r="H82" s="12" t="str">
        <x:v>なし</x:v>
      </x:c>
      <x:c r="I82" s="12" t="str">
        <x:v>2</x:v>
      </x:c>
      <x:c r="J82" s="12" t="str">
        <x:v>https://www.pref.nagano.lg.jp/ringyo/documents/keikaku01.pdf</x:v>
      </x:c>
      <x:c r="K82" s="12" t="str">
        <x:v>2026-07-10</x:v>
      </x:c>
    </x:row>
    <x:row r="83">
      <x:c r="A83" s="12" t="str">
        <x:v>奈川安曇線</x:v>
      </x:c>
      <x:c r="B83" s="12" t="str">
        <x:v>松本市</x:v>
      </x:c>
      <x:c r="C83" s="12" t="str">
        <x:v>H27-H31</x:v>
      </x:c>
      <x:c r="D83" s="12" t="str">
        <x:v>林道改良事業</x:v>
      </x:c>
      <x:c r="E83" s="12" t="str">
        <x:v>林道改良事業（改良）</x:v>
      </x:c>
      <x:c r="F83" s="12" t="str">
        <x:v>H27～H31</x:v>
      </x:c>
      <x:c r="G83" s="12" t="str">
        <x:v>320900</x:v>
      </x:c>
      <x:c r="H83" s="12" t="str">
        <x:v>なし</x:v>
      </x:c>
      <x:c r="I83" s="12" t="str">
        <x:v>2</x:v>
      </x:c>
      <x:c r="J83" s="12" t="str">
        <x:v>https://www.pref.nagano.lg.jp/ringyo/documents/keikaku01.pdf</x:v>
      </x:c>
      <x:c r="K83" s="12" t="str">
        <x:v>2026-07-10</x:v>
      </x:c>
    </x:row>
    <x:row r="84">
      <x:c r="A84" s="12" t="str">
        <x:v>湯ノ原線</x:v>
      </x:c>
      <x:c r="B84" s="12" t="str">
        <x:v>松本市</x:v>
      </x:c>
      <x:c r="C84" s="12" t="str">
        <x:v>H27-H31</x:v>
      </x:c>
      <x:c r="D84" s="12" t="str">
        <x:v>林道改良事業</x:v>
      </x:c>
      <x:c r="E84" s="12" t="str">
        <x:v>林道改良事業（改良）</x:v>
      </x:c>
      <x:c r="F84" s="12" t="str">
        <x:v>H27～H30</x:v>
      </x:c>
      <x:c r="G84" s="12" t="str">
        <x:v>60250</x:v>
      </x:c>
      <x:c r="H84" s="12" t="str">
        <x:v>なし</x:v>
      </x:c>
      <x:c r="I84" s="12" t="str">
        <x:v>2</x:v>
      </x:c>
      <x:c r="J84" s="12" t="str">
        <x:v>https://www.pref.nagano.lg.jp/ringyo/documents/keikaku01.pdf</x:v>
      </x:c>
      <x:c r="K84" s="12" t="str">
        <x:v>2026-07-10</x:v>
      </x:c>
    </x:row>
    <x:row r="85">
      <x:c r="A85" s="12" t="str">
        <x:v>片丘南部線</x:v>
      </x:c>
      <x:c r="B85" s="12" t="str">
        <x:v>塩尻市</x:v>
      </x:c>
      <x:c r="C85" s="12" t="str">
        <x:v>H27-H31</x:v>
      </x:c>
      <x:c r="D85" s="12" t="str">
        <x:v>育成林整備事業</x:v>
      </x:c>
      <x:c r="E85" s="12" t="str">
        <x:v>育成林整備事業（林道開設）</x:v>
      </x:c>
      <x:c r="F85" s="12" t="str">
        <x:v>H27</x:v>
      </x:c>
      <x:c r="G85" s="12" t="str">
        <x:v>38500</x:v>
      </x:c>
      <x:c r="H85" s="12" t="str">
        <x:v>なし</x:v>
      </x:c>
      <x:c r="I85" s="12" t="str">
        <x:v>2</x:v>
      </x:c>
      <x:c r="J85" s="12" t="str">
        <x:v>https://www.pref.nagano.lg.jp/ringyo/documents/keikaku01.pdf</x:v>
      </x:c>
      <x:c r="K85" s="12" t="str">
        <x:v>2026-07-10</x:v>
      </x:c>
    </x:row>
    <x:row r="86">
      <x:c r="A86" s="12" t="str">
        <x:v>雲根線</x:v>
      </x:c>
      <x:c r="B86" s="12" t="str">
        <x:v>生坂村</x:v>
      </x:c>
      <x:c r="C86" s="12" t="str">
        <x:v>H27-H31</x:v>
      </x:c>
      <x:c r="D86" s="12" t="str">
        <x:v>林道改良事業</x:v>
      </x:c>
      <x:c r="E86" s="12" t="str">
        <x:v>林道改良事業（改良）</x:v>
      </x:c>
      <x:c r="F86" s="12" t="str">
        <x:v>H27</x:v>
      </x:c>
      <x:c r="G86" s="12" t="str">
        <x:v>12700</x:v>
      </x:c>
      <x:c r="H86" s="12" t="str">
        <x:v>なし</x:v>
      </x:c>
      <x:c r="I86" s="12" t="str">
        <x:v>2</x:v>
      </x:c>
      <x:c r="J86" s="12" t="str">
        <x:v>https://www.pref.nagano.lg.jp/ringyo/documents/keikaku01.pdf</x:v>
      </x:c>
      <x:c r="K86" s="12" t="str">
        <x:v>2026-07-10</x:v>
      </x:c>
    </x:row>
    <x:row r="87">
      <x:c r="A87" s="12" t="str">
        <x:v>宮坂線</x:v>
      </x:c>
      <x:c r="B87" s="12" t="str">
        <x:v>長野市</x:v>
      </x:c>
      <x:c r="C87" s="12" t="str">
        <x:v>H27-H31</x:v>
      </x:c>
      <x:c r="D87" s="12" t="str">
        <x:v>育成林整備事業</x:v>
      </x:c>
      <x:c r="E87" s="12" t="str">
        <x:v>育成林整備事業（林道開設）</x:v>
      </x:c>
      <x:c r="F87" s="12" t="str">
        <x:v>H27</x:v>
      </x:c>
      <x:c r="G87" s="12" t="str">
        <x:v>23100</x:v>
      </x:c>
      <x:c r="H87" s="12" t="str">
        <x:v>なし</x:v>
      </x:c>
      <x:c r="I87" s="12" t="str">
        <x:v>2</x:v>
      </x:c>
      <x:c r="J87" s="12" t="str">
        <x:v>https://www.pref.nagano.lg.jp/ringyo/documents/keikaku01.pdf</x:v>
      </x:c>
      <x:c r="K87" s="12" t="str">
        <x:v>2026-07-10</x:v>
      </x:c>
    </x:row>
    <x:row r="88">
      <x:c r="A88" s="12" t="str">
        <x:v>佐野山線</x:v>
      </x:c>
      <x:c r="B88" s="12" t="str">
        <x:v>千曲市</x:v>
      </x:c>
      <x:c r="C88" s="12" t="str">
        <x:v>H27-H31</x:v>
      </x:c>
      <x:c r="D88" s="12" t="str">
        <x:v>林道改良事業</x:v>
      </x:c>
      <x:c r="E88" s="12" t="str">
        <x:v>林道改良事業（舗装）</x:v>
      </x:c>
      <x:c r="F88" s="12" t="str">
        <x:v>H27</x:v>
      </x:c>
      <x:c r="G88" s="12" t="str">
        <x:v>3100</x:v>
      </x:c>
      <x:c r="H88" s="12" t="str">
        <x:v>なし</x:v>
      </x:c>
      <x:c r="I88" s="12" t="str">
        <x:v>2</x:v>
      </x:c>
      <x:c r="J88" s="12" t="str">
        <x:v>https://www.pref.nagano.lg.jp/ringyo/documents/keikaku01.pdf</x:v>
      </x:c>
      <x:c r="K88" s="12" t="str">
        <x:v>2026-07-10</x:v>
      </x:c>
    </x:row>
    <x:row r="89">
      <x:c r="A89" s="12" t="str">
        <x:v>中原入線</x:v>
      </x:c>
      <x:c r="B89" s="12" t="str">
        <x:v>千曲市</x:v>
      </x:c>
      <x:c r="C89" s="12" t="str">
        <x:v>H27-H31</x:v>
      </x:c>
      <x:c r="D89" s="12" t="str">
        <x:v>林道改良事業</x:v>
      </x:c>
      <x:c r="E89" s="12" t="str">
        <x:v>林道改良事業（舗装）</x:v>
      </x:c>
      <x:c r="F89" s="12" t="str">
        <x:v>H27～H30</x:v>
      </x:c>
      <x:c r="G89" s="12" t="str">
        <x:v>22500</x:v>
      </x:c>
      <x:c r="H89" s="12" t="str">
        <x:v>なし</x:v>
      </x:c>
      <x:c r="I89" s="12" t="str">
        <x:v>2</x:v>
      </x:c>
      <x:c r="J89" s="12" t="str">
        <x:v>https://www.pref.nagano.lg.jp/ringyo/documents/keikaku01.pdf</x:v>
      </x:c>
      <x:c r="K89" s="12" t="str">
        <x:v>2026-07-10</x:v>
      </x:c>
    </x:row>
    <x:row r="90">
      <x:c r="A90" s="12" t="str">
        <x:v>清水平線</x:v>
      </x:c>
      <x:c r="B90" s="12" t="str">
        <x:v>木島平村</x:v>
      </x:c>
      <x:c r="C90" s="12" t="str">
        <x:v>H27-H31</x:v>
      </x:c>
      <x:c r="D90" s="12" t="str">
        <x:v>林道改良事業</x:v>
      </x:c>
      <x:c r="E90" s="12" t="str">
        <x:v>林道改良事業（改良）</x:v>
      </x:c>
      <x:c r="F90" s="12" t="str">
        <x:v>H27～H28</x:v>
      </x:c>
      <x:c r="G90" s="12" t="str">
        <x:v>19800</x:v>
      </x:c>
      <x:c r="H90" s="12" t="str">
        <x:v>なし</x:v>
      </x:c>
      <x:c r="I90" s="12" t="str">
        <x:v>2</x:v>
      </x:c>
      <x:c r="J90" s="12" t="str">
        <x:v>https://www.pref.nagano.lg.jp/ringyo/documents/keikaku01.pdf</x:v>
      </x:c>
      <x:c r="K90" s="12" t="str">
        <x:v>2026-07-10</x:v>
      </x:c>
    </x:row>
    <x:row r="91">
      <x:c r="A91" s="12" t="str">
        <x:v>秋山線</x:v>
      </x:c>
      <x:c r="B91" s="12" t="str">
        <x:v>栄村</x:v>
      </x:c>
      <x:c r="C91" s="12" t="str">
        <x:v>H27-H31</x:v>
      </x:c>
      <x:c r="D91" s="12" t="str">
        <x:v>林道改良事業</x:v>
      </x:c>
      <x:c r="E91" s="12" t="str">
        <x:v>林道改良事業（改良）</x:v>
      </x:c>
      <x:c r="F91" s="12" t="str">
        <x:v>H27～H28</x:v>
      </x:c>
      <x:c r="G91" s="12" t="str">
        <x:v>54500</x:v>
      </x:c>
      <x:c r="H91" s="12" t="str">
        <x:v>なし</x:v>
      </x:c>
      <x:c r="I91" s="12" t="str">
        <x:v>2</x:v>
      </x:c>
      <x:c r="J91" s="12" t="str">
        <x:v>https://www.pref.nagano.lg.jp/ringyo/documents/keikaku01.pdf</x:v>
      </x:c>
      <x:c r="K91" s="12" t="str">
        <x:v>2026-07-10</x:v>
      </x:c>
    </x:row>
    <x:row r="92">
      <x:c r="A92" s="12" t="str">
        <x:v>熊沢幸沢線</x:v>
      </x:c>
      <x:c r="B92" s="12" t="str">
        <x:v>木祖村</x:v>
      </x:c>
      <x:c r="C92" s="12" t="str">
        <x:v>H27-H31</x:v>
      </x:c>
      <x:c r="D92" s="12" t="str">
        <x:v>林道改良事業</x:v>
      </x:c>
      <x:c r="E92" s="12" t="str">
        <x:v>林道改良事業（改良）</x:v>
      </x:c>
      <x:c r="F92" s="12" t="str">
        <x:v>H28～H29</x:v>
      </x:c>
      <x:c r="G92" s="12" t="str">
        <x:v>29600</x:v>
      </x:c>
      <x:c r="H92" s="12" t="str">
        <x:v>なし</x:v>
      </x:c>
      <x:c r="I92" s="12" t="str">
        <x:v>2</x:v>
      </x:c>
      <x:c r="J92" s="12" t="str">
        <x:v>https://www.pref.nagano.lg.jp/ringyo/documents/keikaku01.pdf</x:v>
      </x:c>
      <x:c r="K92" s="12" t="str">
        <x:v>2026-07-10</x:v>
      </x:c>
    </x:row>
    <x:row r="93">
      <x:c r="A93" s="12" t="str">
        <x:v>一ノ沢線</x:v>
      </x:c>
      <x:c r="B93" s="12" t="str">
        <x:v>安曇野市</x:v>
      </x:c>
      <x:c r="C93" s="12" t="str">
        <x:v>H27-H31</x:v>
      </x:c>
      <x:c r="D93" s="12" t="str">
        <x:v>林道改良事業</x:v>
      </x:c>
      <x:c r="E93" s="12" t="str">
        <x:v>林道改良事業（改良）</x:v>
      </x:c>
      <x:c r="F93" s="12" t="str">
        <x:v>H28</x:v>
      </x:c>
      <x:c r="G93" s="12" t="str">
        <x:v>18600</x:v>
      </x:c>
      <x:c r="H93" s="12" t="str">
        <x:v>なし</x:v>
      </x:c>
      <x:c r="I93" s="12" t="str">
        <x:v>2</x:v>
      </x:c>
      <x:c r="J93" s="12" t="str">
        <x:v>https://www.pref.nagano.lg.jp/ringyo/documents/keikaku01.pdf</x:v>
      </x:c>
      <x:c r="K93" s="12" t="str">
        <x:v>2026-07-10</x:v>
      </x:c>
    </x:row>
    <x:row r="94">
      <x:c r="A94" s="12" t="str">
        <x:v>烏川線</x:v>
      </x:c>
      <x:c r="B94" s="12" t="str">
        <x:v>安曇野市</x:v>
      </x:c>
      <x:c r="C94" s="12" t="str">
        <x:v>H27-H31</x:v>
      </x:c>
      <x:c r="D94" s="12" t="str">
        <x:v>林道改良事業</x:v>
      </x:c>
      <x:c r="E94" s="12" t="str">
        <x:v>林道改良事業（改良）</x:v>
      </x:c>
      <x:c r="F94" s="12" t="str">
        <x:v>H28～H30</x:v>
      </x:c>
      <x:c r="G94" s="12" t="str">
        <x:v>93900</x:v>
      </x:c>
      <x:c r="H94" s="12" t="str">
        <x:v>なし</x:v>
      </x:c>
      <x:c r="I94" s="12" t="str">
        <x:v>2</x:v>
      </x:c>
      <x:c r="J94" s="12" t="str">
        <x:v>https://www.pref.nagano.lg.jp/ringyo/documents/keikaku01.pdf</x:v>
      </x:c>
      <x:c r="K94" s="12" t="str">
        <x:v>2026-07-10</x:v>
      </x:c>
    </x:row>
    <x:row r="95">
      <x:c r="A95" s="12" t="str">
        <x:v>長谷高遠線</x:v>
      </x:c>
      <x:c r="B95" s="12" t="str">
        <x:v>伊那市</x:v>
      </x:c>
      <x:c r="C95" s="12" t="str">
        <x:v>H27-H31第2回変更</x:v>
      </x:c>
      <x:c r="D95" s="12" t="str">
        <x:v>フォレストコミュニティ総合整備事業</x:v>
      </x:c>
      <x:c r="E95" s="12" t="str">
        <x:v>フォレストコミュニティ総合整備事業（林道開設）</x:v>
      </x:c>
      <x:c r="F95" s="12" t="str">
        <x:v>H27～H31</x:v>
      </x:c>
      <x:c r="G95" s="12" t="str">
        <x:v>480000</x:v>
      </x:c>
      <x:c r="H95" s="12" t="str">
        <x:v>なし</x:v>
      </x:c>
      <x:c r="I95" s="12" t="str">
        <x:v>1</x:v>
      </x:c>
      <x:c r="J95" s="12" t="str">
        <x:v>https://www.pref.nagano.lg.jp/ringyo/documents/henkou2.pdf</x:v>
      </x:c>
      <x:c r="K95" s="12" t="str">
        <x:v>2026-07-10</x:v>
      </x:c>
    </x:row>
    <x:row r="96">
      <x:c r="A96" s="12" t="str">
        <x:v>高森山線</x:v>
      </x:c>
      <x:c r="B96" s="12" t="str">
        <x:v>大鹿村</x:v>
      </x:c>
      <x:c r="C96" s="12" t="str">
        <x:v>H27-H31第2回変更</x:v>
      </x:c>
      <x:c r="D96" s="12" t="str">
        <x:v>フォレストコミュニティ総合整備事業</x:v>
      </x:c>
      <x:c r="E96" s="12" t="str">
        <x:v>フォレストコミュニティ総合整備事業（林道開設）</x:v>
      </x:c>
      <x:c r="F96" s="12" t="str">
        <x:v>H27～H31</x:v>
      </x:c>
      <x:c r="G96" s="12" t="str">
        <x:v>148500</x:v>
      </x:c>
      <x:c r="H96" s="12" t="str">
        <x:v>なし</x:v>
      </x:c>
      <x:c r="I96" s="12" t="str">
        <x:v>1</x:v>
      </x:c>
      <x:c r="J96" s="12" t="str">
        <x:v>https://www.pref.nagano.lg.jp/ringyo/documents/henkou2.pdf</x:v>
      </x:c>
      <x:c r="K96" s="12" t="str">
        <x:v>2026-07-10</x:v>
      </x:c>
    </x:row>
    <x:row r="97">
      <x:c r="A97" s="12" t="str">
        <x:v>高平線</x:v>
      </x:c>
      <x:c r="B97" s="12" t="str">
        <x:v>飯田市</x:v>
      </x:c>
      <x:c r="C97" s="12" t="str">
        <x:v>H27-H31第2回変更</x:v>
      </x:c>
      <x:c r="D97" s="12" t="str">
        <x:v>育成林整備事業</x:v>
      </x:c>
      <x:c r="E97" s="12" t="str">
        <x:v>育成林整備事業（林道開設）</x:v>
      </x:c>
      <x:c r="F97" s="12" t="str">
        <x:v>H29～H31</x:v>
      </x:c>
      <x:c r="G97" s="12" t="str">
        <x:v>60000</x:v>
      </x:c>
      <x:c r="H97" s="12" t="str">
        <x:v>なし</x:v>
      </x:c>
      <x:c r="I97" s="12" t="str">
        <x:v>1</x:v>
      </x:c>
      <x:c r="J97" s="12" t="str">
        <x:v>https://www.pref.nagano.lg.jp/ringyo/documents/henkou2.pdf</x:v>
      </x:c>
      <x:c r="K97" s="12" t="str">
        <x:v>2026-07-10</x:v>
      </x:c>
    </x:row>
    <x:row r="98">
      <x:c r="A98" s="12" t="str">
        <x:v>天白高烏谷線</x:v>
      </x:c>
      <x:c r="B98" s="12" t="str">
        <x:v>駒ヶ根市</x:v>
      </x:c>
      <x:c r="C98" s="12" t="str">
        <x:v>H27-H31第2回変更</x:v>
      </x:c>
      <x:c r="D98" s="12" t="str">
        <x:v>育成林整備事業</x:v>
      </x:c>
      <x:c r="E98" s="12" t="str">
        <x:v>育成林整備事業（林道開設）</x:v>
      </x:c>
      <x:c r="F98" s="12" t="str">
        <x:v>H27～H31</x:v>
      </x:c>
      <x:c r="G98" s="12" t="str">
        <x:v>99500</x:v>
      </x:c>
      <x:c r="H98" s="12" t="str">
        <x:v>なし</x:v>
      </x:c>
      <x:c r="I98" s="12" t="str">
        <x:v>1</x:v>
      </x:c>
      <x:c r="J98" s="12" t="str">
        <x:v>https://www.pref.nagano.lg.jp/ringyo/documents/henkou2.pdf</x:v>
      </x:c>
      <x:c r="K98" s="12" t="str">
        <x:v>2026-07-10</x:v>
      </x:c>
    </x:row>
    <x:row r="99">
      <x:c r="A99" s="12" t="str">
        <x:v>千代田湖枯木線</x:v>
      </x:c>
      <x:c r="B99" s="12" t="str">
        <x:v>伊那市</x:v>
      </x:c>
      <x:c r="C99" s="12" t="str">
        <x:v>H27-H31第2回変更</x:v>
      </x:c>
      <x:c r="D99" s="12" t="str">
        <x:v>林道改良事業</x:v>
      </x:c>
      <x:c r="E99" s="12" t="str">
        <x:v>林道改良事業（改良）</x:v>
      </x:c>
      <x:c r="F99" s="12" t="str">
        <x:v>H27～H30</x:v>
      </x:c>
      <x:c r="G99" s="12" t="str">
        <x:v>48400</x:v>
      </x:c>
      <x:c r="H99" s="12" t="str">
        <x:v>なし</x:v>
      </x:c>
      <x:c r="I99" s="12" t="str">
        <x:v>1</x:v>
      </x:c>
      <x:c r="J99" s="12" t="str">
        <x:v>https://www.pref.nagano.lg.jp/ringyo/documents/henkou2.pdf</x:v>
      </x:c>
      <x:c r="K99" s="12" t="str">
        <x:v>2026-07-10</x:v>
      </x:c>
    </x:row>
    <x:row r="100">
      <x:c r="A100" s="12" t="str">
        <x:v>古城線</x:v>
      </x:c>
      <x:c r="B100" s="12" t="str">
        <x:v>駒ヶ根市</x:v>
      </x:c>
      <x:c r="C100" s="12" t="str">
        <x:v>H27-H31第2回変更</x:v>
      </x:c>
      <x:c r="D100" s="12" t="str">
        <x:v>林道改良事業</x:v>
      </x:c>
      <x:c r="E100" s="12" t="str">
        <x:v>林道改良事業（改良）</x:v>
      </x:c>
      <x:c r="F100" s="12" t="str">
        <x:v>H27～H30</x:v>
      </x:c>
      <x:c r="G100" s="12" t="str">
        <x:v>58800</x:v>
      </x:c>
      <x:c r="H100" s="12" t="str">
        <x:v>なし</x:v>
      </x:c>
      <x:c r="I100" s="12" t="str">
        <x:v>1</x:v>
      </x:c>
      <x:c r="J100" s="12" t="str">
        <x:v>https://www.pref.nagano.lg.jp/ringyo/documents/henkou2.pdf</x:v>
      </x:c>
      <x:c r="K100" s="12" t="str">
        <x:v>2026-07-10</x:v>
      </x:c>
    </x:row>
    <x:row r="101">
      <x:c r="A101" s="12" t="str">
        <x:v>南アルプス線</x:v>
      </x:c>
      <x:c r="B101" s="12" t="str">
        <x:v>伊那市</x:v>
      </x:c>
      <x:c r="C101" s="12" t="str">
        <x:v>H27-H31第2回変更</x:v>
      </x:c>
      <x:c r="D101" s="12" t="str">
        <x:v>林道改良事業</x:v>
      </x:c>
      <x:c r="E101" s="12" t="str">
        <x:v>林道改良事業（改良）</x:v>
      </x:c>
      <x:c r="F101" s="12" t="str">
        <x:v>H27～H30</x:v>
      </x:c>
      <x:c r="G101" s="12" t="str">
        <x:v>97200</x:v>
      </x:c>
      <x:c r="H101" s="12" t="str">
        <x:v>なし</x:v>
      </x:c>
      <x:c r="I101" s="12" t="str">
        <x:v>1</x:v>
      </x:c>
      <x:c r="J101" s="12" t="str">
        <x:v>https://www.pref.nagano.lg.jp/ringyo/documents/henkou2.pdf</x:v>
      </x:c>
      <x:c r="K101" s="12" t="str">
        <x:v>2026-07-10</x:v>
      </x:c>
    </x:row>
    <x:row r="102">
      <x:c r="A102" s="12" t="str">
        <x:v>陣馬形線</x:v>
      </x:c>
      <x:c r="B102" s="12" t="str">
        <x:v>中川村</x:v>
      </x:c>
      <x:c r="C102" s="12" t="str">
        <x:v>H27-H31第2回変更</x:v>
      </x:c>
      <x:c r="D102" s="12" t="str">
        <x:v>林道改良事業</x:v>
      </x:c>
      <x:c r="E102" s="12" t="str">
        <x:v>林道改良事業（改良）</x:v>
      </x:c>
      <x:c r="F102" s="12" t="str">
        <x:v>H27～H30</x:v>
      </x:c>
      <x:c r="G102" s="12" t="str">
        <x:v>43300</x:v>
      </x:c>
      <x:c r="H102" s="12" t="str">
        <x:v>なし</x:v>
      </x:c>
      <x:c r="I102" s="12" t="str">
        <x:v>1</x:v>
      </x:c>
      <x:c r="J102" s="12" t="str">
        <x:v>https://www.pref.nagano.lg.jp/ringyo/documents/henkou2.pdf</x:v>
      </x:c>
      <x:c r="K102" s="12" t="str">
        <x:v>2026-07-10</x:v>
      </x:c>
    </x:row>
    <x:row r="103">
      <x:c r="A103" s="12" t="str">
        <x:v>銭峯線</x:v>
      </x:c>
      <x:c r="B103" s="12" t="str">
        <x:v>中川村</x:v>
      </x:c>
      <x:c r="C103" s="12" t="str">
        <x:v>H27-H31第2回変更</x:v>
      </x:c>
      <x:c r="D103" s="12" t="str">
        <x:v>林道改良事業</x:v>
      </x:c>
      <x:c r="E103" s="12" t="str">
        <x:v>林道改良事業（改良）</x:v>
      </x:c>
      <x:c r="F103" s="12" t="str">
        <x:v>Ｈ29～31</x:v>
      </x:c>
      <x:c r="G103" s="12" t="str">
        <x:v>20200</x:v>
      </x:c>
      <x:c r="H103" s="12" t="str">
        <x:v>なし</x:v>
      </x:c>
      <x:c r="I103" s="12" t="str">
        <x:v>1</x:v>
      </x:c>
      <x:c r="J103" s="12" t="str">
        <x:v>https://www.pref.nagano.lg.jp/ringyo/documents/henkou2.pdf</x:v>
      </x:c>
      <x:c r="K103" s="12" t="str">
        <x:v>2026-07-10</x:v>
      </x:c>
    </x:row>
    <x:row r="104">
      <x:c r="A104" s="12" t="str">
        <x:v>間沢川線</x:v>
      </x:c>
      <x:c r="B104" s="12" t="str">
        <x:v>松川町</x:v>
      </x:c>
      <x:c r="C104" s="12" t="str">
        <x:v>H27-H31第2回変更</x:v>
      </x:c>
      <x:c r="D104" s="12" t="str">
        <x:v>林道改良事業</x:v>
      </x:c>
      <x:c r="E104" s="12" t="str">
        <x:v>林道改良事業（改良）</x:v>
      </x:c>
      <x:c r="F104" s="12" t="str">
        <x:v>H27</x:v>
      </x:c>
      <x:c r="G104" s="12" t="str">
        <x:v>13500</x:v>
      </x:c>
      <x:c r="H104" s="12" t="str">
        <x:v>なし</x:v>
      </x:c>
      <x:c r="I104" s="12" t="str">
        <x:v>1</x:v>
      </x:c>
      <x:c r="J104" s="12" t="str">
        <x:v>https://www.pref.nagano.lg.jp/ringyo/documents/henkou2.pdf</x:v>
      </x:c>
      <x:c r="K104" s="12" t="str">
        <x:v>2026-07-10</x:v>
      </x:c>
    </x:row>
    <x:row r="105">
      <x:c r="A105" s="12" t="str">
        <x:v>桧沢和合路線</x:v>
      </x:c>
      <x:c r="B105" s="12" t="str">
        <x:v>飯田市</x:v>
      </x:c>
      <x:c r="C105" s="12" t="str">
        <x:v>H27-H31第2回変更</x:v>
      </x:c>
      <x:c r="D105" s="12" t="str">
        <x:v>林道改良事業</x:v>
      </x:c>
      <x:c r="E105" s="12" t="str">
        <x:v>林道改良事業（改良）</x:v>
      </x:c>
      <x:c r="F105" s="12" t="str">
        <x:v>H27～H29</x:v>
      </x:c>
      <x:c r="G105" s="12" t="str">
        <x:v>35400</x:v>
      </x:c>
      <x:c r="H105" s="12" t="str">
        <x:v>なし</x:v>
      </x:c>
      <x:c r="I105" s="12" t="str">
        <x:v>1</x:v>
      </x:c>
      <x:c r="J105" s="12" t="str">
        <x:v>https://www.pref.nagano.lg.jp/ringyo/documents/henkou2.pdf</x:v>
      </x:c>
      <x:c r="K105" s="12" t="str">
        <x:v>2026-07-10</x:v>
      </x:c>
    </x:row>
    <x:row r="106">
      <x:c r="A106" s="12" t="str">
        <x:v>万古川線</x:v>
      </x:c>
      <x:c r="B106" s="12" t="str">
        <x:v>泰阜村</x:v>
      </x:c>
      <x:c r="C106" s="12" t="str">
        <x:v>H27-H31第2回変更</x:v>
      </x:c>
      <x:c r="D106" s="12" t="str">
        <x:v>林道改良事業</x:v>
      </x:c>
      <x:c r="E106" s="12" t="str">
        <x:v>林道改良事業（改良）</x:v>
      </x:c>
      <x:c r="F106" s="12" t="str">
        <x:v>H27～H30</x:v>
      </x:c>
      <x:c r="G106" s="12" t="str">
        <x:v>44000</x:v>
      </x:c>
      <x:c r="H106" s="12" t="str">
        <x:v>なし</x:v>
      </x:c>
      <x:c r="I106" s="12" t="str">
        <x:v>1</x:v>
      </x:c>
      <x:c r="J106" s="12" t="str">
        <x:v>https://www.pref.nagano.lg.jp/ringyo/documents/henkou2.pdf</x:v>
      </x:c>
      <x:c r="K106" s="12" t="str">
        <x:v>2026-07-10</x:v>
      </x:c>
    </x:row>
    <x:row r="107">
      <x:c r="A107" s="12" t="str">
        <x:v>中峰黒川線</x:v>
      </x:c>
      <x:c r="B107" s="12" t="str">
        <x:v>大鹿村</x:v>
      </x:c>
      <x:c r="C107" s="12" t="str">
        <x:v>H27-H31第2回変更</x:v>
      </x:c>
      <x:c r="D107" s="12" t="str">
        <x:v>林道改良事業</x:v>
      </x:c>
      <x:c r="E107" s="12" t="str">
        <x:v>林道改良事業（改良）</x:v>
      </x:c>
      <x:c r="F107" s="12" t="str">
        <x:v>H27～H29</x:v>
      </x:c>
      <x:c r="G107" s="12" t="str">
        <x:v>90892</x:v>
      </x:c>
      <x:c r="H107" s="12" t="str">
        <x:v>なし</x:v>
      </x:c>
      <x:c r="I107" s="12" t="str">
        <x:v>1</x:v>
      </x:c>
      <x:c r="J107" s="12" t="str">
        <x:v>https://www.pref.nagano.lg.jp/ringyo/documents/henkou2.pdf</x:v>
      </x:c>
      <x:c r="K107" s="12" t="str">
        <x:v>2026-07-10</x:v>
      </x:c>
    </x:row>
    <x:row r="108">
      <x:c r="A108" s="12" t="str">
        <x:v>押の沢線</x:v>
      </x:c>
      <x:c r="B108" s="12" t="str">
        <x:v>飯田市</x:v>
      </x:c>
      <x:c r="C108" s="12" t="str">
        <x:v>H27-H31第2回変更</x:v>
      </x:c>
      <x:c r="D108" s="12" t="str">
        <x:v>林道改良事業</x:v>
      </x:c>
      <x:c r="E108" s="12" t="str">
        <x:v>林道改良事業（改良）</x:v>
      </x:c>
      <x:c r="F108" s="12" t="str">
        <x:v>H27</x:v>
      </x:c>
      <x:c r="G108" s="12" t="str">
        <x:v>18500</x:v>
      </x:c>
      <x:c r="H108" s="12" t="str">
        <x:v>なし</x:v>
      </x:c>
      <x:c r="I108" s="12" t="str">
        <x:v>1</x:v>
      </x:c>
      <x:c r="J108" s="12" t="str">
        <x:v>https://www.pref.nagano.lg.jp/ringyo/documents/henkou2.pdf</x:v>
      </x:c>
      <x:c r="K108" s="12" t="str">
        <x:v>2026-07-10</x:v>
      </x:c>
    </x:row>
    <x:row r="109">
      <x:c r="A109" s="12" t="str">
        <x:v>鳥倉線</x:v>
      </x:c>
      <x:c r="B109" s="12" t="str">
        <x:v>大鹿村</x:v>
      </x:c>
      <x:c r="C109" s="12" t="str">
        <x:v>H27-H31第2回変更</x:v>
      </x:c>
      <x:c r="D109" s="12" t="str">
        <x:v>林道改良事業</x:v>
      </x:c>
      <x:c r="E109" s="12" t="str">
        <x:v>林道改良事業（改良）</x:v>
      </x:c>
      <x:c r="F109" s="12" t="str">
        <x:v>H27～H31</x:v>
      </x:c>
      <x:c r="G109" s="12" t="str">
        <x:v>112520</x:v>
      </x:c>
      <x:c r="H109" s="12" t="str">
        <x:v>なし</x:v>
      </x:c>
      <x:c r="I109" s="12" t="str">
        <x:v>1</x:v>
      </x:c>
      <x:c r="J109" s="12" t="str">
        <x:v>https://www.pref.nagano.lg.jp/ringyo/documents/henkou2.pdf</x:v>
      </x:c>
      <x:c r="K109" s="12" t="str">
        <x:v>2026-07-10</x:v>
      </x:c>
    </x:row>
    <x:row r="110">
      <x:c r="A110" s="12" t="str">
        <x:v>釜沢線</x:v>
      </x:c>
      <x:c r="B110" s="12" t="str">
        <x:v>大鹿村</x:v>
      </x:c>
      <x:c r="C110" s="12" t="str">
        <x:v>H27-H31第2回変更</x:v>
      </x:c>
      <x:c r="D110" s="12" t="str">
        <x:v>林道改良事業</x:v>
      </x:c>
      <x:c r="E110" s="12" t="str">
        <x:v>林道改良事業（改良）</x:v>
      </x:c>
      <x:c r="F110" s="12" t="str">
        <x:v>H27</x:v>
      </x:c>
      <x:c r="G110" s="12" t="str">
        <x:v>10100</x:v>
      </x:c>
      <x:c r="H110" s="12" t="str">
        <x:v>なし</x:v>
      </x:c>
      <x:c r="I110" s="12" t="str">
        <x:v>1</x:v>
      </x:c>
      <x:c r="J110" s="12" t="str">
        <x:v>https://www.pref.nagano.lg.jp/ringyo/documents/henkou2.pdf</x:v>
      </x:c>
      <x:c r="K110" s="12" t="str">
        <x:v>2026-07-10</x:v>
      </x:c>
    </x:row>
    <x:row r="111">
      <x:c r="A111" s="12" t="str">
        <x:v>虫川新野峠線</x:v>
      </x:c>
      <x:c r="B111" s="12" t="str">
        <x:v>天龍村</x:v>
      </x:c>
      <x:c r="C111" s="12" t="str">
        <x:v>H27-H31第2回変更</x:v>
      </x:c>
      <x:c r="D111" s="12" t="str">
        <x:v>林道改良事業</x:v>
      </x:c>
      <x:c r="E111" s="12" t="str">
        <x:v>林道改良事業（改良）</x:v>
      </x:c>
      <x:c r="F111" s="12" t="str">
        <x:v>H27～H28</x:v>
      </x:c>
      <x:c r="G111" s="12" t="str">
        <x:v>23000</x:v>
      </x:c>
      <x:c r="H111" s="12" t="str">
        <x:v>なし</x:v>
      </x:c>
      <x:c r="I111" s="12" t="str">
        <x:v>2</x:v>
      </x:c>
      <x:c r="J111" s="12" t="str">
        <x:v>https://www.pref.nagano.lg.jp/ringyo/documents/henkou2.pdf</x:v>
      </x:c>
      <x:c r="K111" s="12" t="str">
        <x:v>2026-07-10</x:v>
      </x:c>
    </x:row>
    <x:row r="112">
      <x:c r="A112" s="12" t="str">
        <x:v>虫川新野峠線</x:v>
      </x:c>
      <x:c r="B112" s="12" t="str">
        <x:v>木曽町</x:v>
      </x:c>
      <x:c r="C112" s="12" t="str">
        <x:v>H27-H31第2回変更</x:v>
      </x:c>
      <x:c r="D112" s="12" t="str">
        <x:v>林道改良事業</x:v>
      </x:c>
      <x:c r="E112" s="12" t="str">
        <x:v>林道改良事業（舗装）</x:v>
      </x:c>
      <x:c r="F112" s="12" t="str">
        <x:v>H27～H31</x:v>
      </x:c>
      <x:c r="G112" s="12" t="str">
        <x:v>119000</x:v>
      </x:c>
      <x:c r="H112" s="12" t="str">
        <x:v>なし</x:v>
      </x:c>
      <x:c r="I112" s="12" t="str">
        <x:v>2</x:v>
      </x:c>
      <x:c r="J112" s="12" t="str">
        <x:v>https://www.pref.nagano.lg.jp/ringyo/documents/henkou2.pdf</x:v>
      </x:c>
      <x:c r="K112" s="12" t="str">
        <x:v>2026-07-10</x:v>
      </x:c>
    </x:row>
    <x:row r="113">
      <x:c r="A113" s="12" t="str">
        <x:v>熊沢幸沢線</x:v>
      </x:c>
      <x:c r="B113" s="12" t="str">
        <x:v>木祖村</x:v>
      </x:c>
      <x:c r="C113" s="12" t="str">
        <x:v>H27-H31第2回変更</x:v>
      </x:c>
      <x:c r="D113" s="12" t="str">
        <x:v>林道改良事業</x:v>
      </x:c>
      <x:c r="E113" s="12" t="str">
        <x:v>林道改良事業（改良）</x:v>
      </x:c>
      <x:c r="F113" s="12" t="str">
        <x:v>H28～H29</x:v>
      </x:c>
      <x:c r="G113" s="12" t="str">
        <x:v>29600</x:v>
      </x:c>
      <x:c r="H113" s="12" t="str">
        <x:v>なし</x:v>
      </x:c>
      <x:c r="I113" s="12" t="str">
        <x:v>2</x:v>
      </x:c>
      <x:c r="J113" s="12" t="str">
        <x:v>https://www.pref.nagano.lg.jp/ringyo/documents/henkou2.pdf</x:v>
      </x:c>
      <x:c r="K113" s="12" t="str">
        <x:v>2026-07-10</x:v>
      </x:c>
    </x:row>
    <x:row r="114">
      <x:c r="A114" s="12" t="str">
        <x:v>塩沢線</x:v>
      </x:c>
      <x:c r="B114" s="12" t="str">
        <x:v>木曽町</x:v>
      </x:c>
      <x:c r="C114" s="12" t="str">
        <x:v>H27-H31第2回変更</x:v>
      </x:c>
      <x:c r="D114" s="12" t="str">
        <x:v>林道改良事業</x:v>
      </x:c>
      <x:c r="E114" s="12" t="str">
        <x:v>林道改良事業（舗装）</x:v>
      </x:c>
      <x:c r="F114" s="12" t="str">
        <x:v>H27～H29</x:v>
      </x:c>
      <x:c r="G114" s="12" t="str">
        <x:v>38000</x:v>
      </x:c>
      <x:c r="H114" s="12" t="str">
        <x:v>なし</x:v>
      </x:c>
      <x:c r="I114" s="12" t="str">
        <x:v>2</x:v>
      </x:c>
      <x:c r="J114" s="12" t="str">
        <x:v>https://www.pref.nagano.lg.jp/ringyo/documents/henkou2.pdf</x:v>
      </x:c>
      <x:c r="K114" s="12" t="str">
        <x:v>2026-07-10</x:v>
      </x:c>
    </x:row>
    <x:row r="115">
      <x:c r="A115" s="12" t="str">
        <x:v>栗の木線</x:v>
      </x:c>
      <x:c r="B115" s="12" t="str">
        <x:v>松本市</x:v>
      </x:c>
      <x:c r="C115" s="12" t="str">
        <x:v>H27-H31第2回変更</x:v>
      </x:c>
      <x:c r="D115" s="12" t="str">
        <x:v>育成林整備事業</x:v>
      </x:c>
      <x:c r="E115" s="12" t="str">
        <x:v>育成林整備事業（林道開設）</x:v>
      </x:c>
      <x:c r="F115" s="12" t="str">
        <x:v>H27～H28</x:v>
      </x:c>
      <x:c r="G115" s="12" t="str">
        <x:v>38700</x:v>
      </x:c>
      <x:c r="H115" s="12" t="str">
        <x:v>なし</x:v>
      </x:c>
      <x:c r="I115" s="12" t="str">
        <x:v>2</x:v>
      </x:c>
      <x:c r="J115" s="12" t="str">
        <x:v>https://www.pref.nagano.lg.jp/ringyo/documents/henkou2.pdf</x:v>
      </x:c>
      <x:c r="K115" s="12" t="str">
        <x:v>2026-07-10</x:v>
      </x:c>
    </x:row>
    <x:row r="116">
      <x:c r="A116" s="12" t="str">
        <x:v>高遠線</x:v>
      </x:c>
      <x:c r="B116" s="12" t="str">
        <x:v>松本市</x:v>
      </x:c>
      <x:c r="C116" s="12" t="str">
        <x:v>H27-H31第2回変更</x:v>
      </x:c>
      <x:c r="D116" s="12" t="str">
        <x:v>育成林整備事業</x:v>
      </x:c>
      <x:c r="E116" s="12" t="str">
        <x:v>育成林整備事業（林道開設）</x:v>
      </x:c>
      <x:c r="F116" s="12" t="str">
        <x:v>H27～H31</x:v>
      </x:c>
      <x:c r="G116" s="12" t="str">
        <x:v>85340</x:v>
      </x:c>
      <x:c r="H116" s="12" t="str">
        <x:v>なし</x:v>
      </x:c>
      <x:c r="I116" s="12" t="str">
        <x:v>2</x:v>
      </x:c>
      <x:c r="J116" s="12" t="str">
        <x:v>https://www.pref.nagano.lg.jp/ringyo/documents/henkou2.pdf</x:v>
      </x:c>
      <x:c r="K116" s="12" t="str">
        <x:v>2026-07-10</x:v>
      </x:c>
    </x:row>
    <x:row r="117">
      <x:c r="A117" s="12" t="str">
        <x:v>美ヶ原線</x:v>
      </x:c>
      <x:c r="B117" s="12" t="str">
        <x:v>松本市</x:v>
      </x:c>
      <x:c r="C117" s="12" t="str">
        <x:v>H27-H31第2回変更</x:v>
      </x:c>
      <x:c r="D117" s="12" t="str">
        <x:v>林道改良事業</x:v>
      </x:c>
      <x:c r="E117" s="12" t="str">
        <x:v>林道改良事業（改良）</x:v>
      </x:c>
      <x:c r="F117" s="12" t="str">
        <x:v>H27～H31</x:v>
      </x:c>
      <x:c r="G117" s="12" t="str">
        <x:v>109200</x:v>
      </x:c>
      <x:c r="H117" s="12" t="str">
        <x:v>なし</x:v>
      </x:c>
      <x:c r="I117" s="12" t="str">
        <x:v>2</x:v>
      </x:c>
      <x:c r="J117" s="12" t="str">
        <x:v>https://www.pref.nagano.lg.jp/ringyo/documents/henkou2.pdf</x:v>
      </x:c>
      <x:c r="K117" s="12" t="str">
        <x:v>2026-07-10</x:v>
      </x:c>
    </x:row>
    <x:row r="118">
      <x:c r="A118" s="12" t="str">
        <x:v>奈川安曇線</x:v>
      </x:c>
      <x:c r="B118" s="12" t="str">
        <x:v>松本市</x:v>
      </x:c>
      <x:c r="C118" s="12" t="str">
        <x:v>H27-H31第2回変更</x:v>
      </x:c>
      <x:c r="D118" s="12" t="str">
        <x:v>林道改良事業</x:v>
      </x:c>
      <x:c r="E118" s="12" t="str">
        <x:v>林道改良事業（改良）</x:v>
      </x:c>
      <x:c r="F118" s="12" t="str">
        <x:v>H27～H31</x:v>
      </x:c>
      <x:c r="G118" s="12" t="str">
        <x:v>320900</x:v>
      </x:c>
      <x:c r="H118" s="12" t="str">
        <x:v>なし</x:v>
      </x:c>
      <x:c r="I118" s="12" t="str">
        <x:v>2</x:v>
      </x:c>
      <x:c r="J118" s="12" t="str">
        <x:v>https://www.pref.nagano.lg.jp/ringyo/documents/henkou2.pdf</x:v>
      </x:c>
      <x:c r="K118" s="12" t="str">
        <x:v>2026-07-10</x:v>
      </x:c>
    </x:row>
    <x:row r="119">
      <x:c r="A119" s="12" t="str">
        <x:v>湯ノ原線</x:v>
      </x:c>
      <x:c r="B119" s="12" t="str">
        <x:v>松本市</x:v>
      </x:c>
      <x:c r="C119" s="12" t="str">
        <x:v>H27-H31第2回変更</x:v>
      </x:c>
      <x:c r="D119" s="12" t="str">
        <x:v>林道改良事業</x:v>
      </x:c>
      <x:c r="E119" s="12" t="str">
        <x:v>林道改良事業（改良）</x:v>
      </x:c>
      <x:c r="F119" s="12" t="str">
        <x:v>H27～H30</x:v>
      </x:c>
      <x:c r="G119" s="12" t="str">
        <x:v>44050</x:v>
      </x:c>
      <x:c r="H119" s="12" t="str">
        <x:v>なし</x:v>
      </x:c>
      <x:c r="I119" s="12" t="str">
        <x:v>2</x:v>
      </x:c>
      <x:c r="J119" s="12" t="str">
        <x:v>https://www.pref.nagano.lg.jp/ringyo/documents/henkou2.pdf</x:v>
      </x:c>
      <x:c r="K119" s="12" t="str">
        <x:v>2026-07-10</x:v>
      </x:c>
    </x:row>
    <x:row r="120">
      <x:c r="A120" s="12" t="str">
        <x:v>片丘南部線</x:v>
      </x:c>
      <x:c r="B120" s="12" t="str">
        <x:v>塩尻市</x:v>
      </x:c>
      <x:c r="C120" s="12" t="str">
        <x:v>H27-H31第2回変更</x:v>
      </x:c>
      <x:c r="D120" s="12" t="str">
        <x:v>育成林整備事業</x:v>
      </x:c>
      <x:c r="E120" s="12" t="str">
        <x:v>育成林整備事業（林道開設）</x:v>
      </x:c>
      <x:c r="F120" s="12" t="str">
        <x:v>H27</x:v>
      </x:c>
      <x:c r="G120" s="12" t="str">
        <x:v>38500</x:v>
      </x:c>
      <x:c r="H120" s="12" t="str">
        <x:v>なし</x:v>
      </x:c>
      <x:c r="I120" s="12" t="str">
        <x:v>2</x:v>
      </x:c>
      <x:c r="J120" s="12" t="str">
        <x:v>https://www.pref.nagano.lg.jp/ringyo/documents/henkou2.pdf</x:v>
      </x:c>
      <x:c r="K120" s="12" t="str">
        <x:v>2026-07-10</x:v>
      </x:c>
    </x:row>
    <x:row r="121">
      <x:c r="A121" s="12" t="str">
        <x:v>雲根線</x:v>
      </x:c>
      <x:c r="B121" s="12" t="str">
        <x:v>生坂村</x:v>
      </x:c>
      <x:c r="C121" s="12" t="str">
        <x:v>H27-H31第2回変更</x:v>
      </x:c>
      <x:c r="D121" s="12" t="str">
        <x:v>林道改良事業</x:v>
      </x:c>
      <x:c r="E121" s="12" t="str">
        <x:v>林道改良事業（改良）</x:v>
      </x:c>
      <x:c r="F121" s="12" t="str">
        <x:v>H27</x:v>
      </x:c>
      <x:c r="G121" s="12" t="str">
        <x:v>12700</x:v>
      </x:c>
      <x:c r="H121" s="12" t="str">
        <x:v>なし</x:v>
      </x:c>
      <x:c r="I121" s="12" t="str">
        <x:v>2</x:v>
      </x:c>
      <x:c r="J121" s="12" t="str">
        <x:v>https://www.pref.nagano.lg.jp/ringyo/documents/henkou2.pdf</x:v>
      </x:c>
      <x:c r="K121" s="12" t="str">
        <x:v>2026-07-10</x:v>
      </x:c>
    </x:row>
    <x:row r="122">
      <x:c r="A122" s="12" t="str">
        <x:v>中俣線</x:v>
      </x:c>
      <x:c r="B122" s="12" t="str">
        <x:v>朝日村</x:v>
      </x:c>
      <x:c r="C122" s="12" t="str">
        <x:v>H27-H31第2回変更</x:v>
      </x:c>
      <x:c r="D122" s="12" t="str">
        <x:v>林道改良事業</x:v>
      </x:c>
      <x:c r="E122" s="12" t="str">
        <x:v>林道改良事業（改良）</x:v>
      </x:c>
      <x:c r="F122" s="12" t="str">
        <x:v>H29</x:v>
      </x:c>
      <x:c r="G122" s="12" t="str">
        <x:v>12600</x:v>
      </x:c>
      <x:c r="H122" s="12" t="str">
        <x:v>なし</x:v>
      </x:c>
      <x:c r="I122" s="12" t="str">
        <x:v>2</x:v>
      </x:c>
      <x:c r="J122" s="12" t="str">
        <x:v>https://www.pref.nagano.lg.jp/ringyo/documents/henkou2.pdf</x:v>
      </x:c>
      <x:c r="K122" s="12" t="str">
        <x:v>2026-07-10</x:v>
      </x:c>
    </x:row>
    <x:row r="123">
      <x:c r="A123" s="12" t="str">
        <x:v>樫俣線</x:v>
      </x:c>
      <x:c r="B123" s="12" t="str">
        <x:v>朝日村</x:v>
      </x:c>
      <x:c r="C123" s="12" t="str">
        <x:v>H27-H31第2回変更</x:v>
      </x:c>
      <x:c r="D123" s="12" t="str">
        <x:v>林道改良事業</x:v>
      </x:c>
      <x:c r="E123" s="12" t="str">
        <x:v>林道改良事業（改良）</x:v>
      </x:c>
      <x:c r="F123" s="12" t="str">
        <x:v>H29</x:v>
      </x:c>
      <x:c r="G123" s="12" t="str">
        <x:v>13800</x:v>
      </x:c>
      <x:c r="H123" s="12" t="str">
        <x:v>なし</x:v>
      </x:c>
      <x:c r="I123" s="12" t="str">
        <x:v>2</x:v>
      </x:c>
      <x:c r="J123" s="12" t="str">
        <x:v>https://www.pref.nagano.lg.jp/ringyo/documents/henkou2.pdf</x:v>
      </x:c>
      <x:c r="K123" s="12" t="str">
        <x:v>2026-07-10</x:v>
      </x:c>
    </x:row>
    <x:row r="124">
      <x:c r="A124" s="12" t="str">
        <x:v>大川線</x:v>
      </x:c>
      <x:c r="B124" s="12" t="str">
        <x:v>長野市</x:v>
      </x:c>
      <x:c r="C124" s="12" t="str">
        <x:v>H27-H31第2回変更</x:v>
      </x:c>
      <x:c r="D124" s="12" t="str">
        <x:v>林道改良事業</x:v>
      </x:c>
      <x:c r="E124" s="12" t="str">
        <x:v>林道改良事業（橋梁改良）</x:v>
      </x:c>
      <x:c r="F124" s="12" t="str">
        <x:v>H29</x:v>
      </x:c>
      <x:c r="G124" s="12" t="str">
        <x:v>26600</x:v>
      </x:c>
      <x:c r="H124" s="12" t="str">
        <x:v>なし</x:v>
      </x:c>
      <x:c r="I124" s="12" t="str">
        <x:v>2</x:v>
      </x:c>
      <x:c r="J124" s="12" t="str">
        <x:v>https://www.pref.nagano.lg.jp/ringyo/documents/henkou2.pdf</x:v>
      </x:c>
      <x:c r="K124" s="12" t="str">
        <x:v>2026-07-10</x:v>
      </x:c>
    </x:row>
    <x:row r="125">
      <x:c r="A125" s="12" t="str">
        <x:v>宮坂線</x:v>
      </x:c>
      <x:c r="B125" s="12" t="str">
        <x:v>長野市</x:v>
      </x:c>
      <x:c r="C125" s="12" t="str">
        <x:v>H27-H31第2回変更</x:v>
      </x:c>
      <x:c r="D125" s="12" t="str">
        <x:v>育成林整備事業</x:v>
      </x:c>
      <x:c r="E125" s="12" t="str">
        <x:v>育成林整備事業（林道開設）</x:v>
      </x:c>
      <x:c r="F125" s="12" t="str">
        <x:v>H27</x:v>
      </x:c>
      <x:c r="G125" s="12" t="str">
        <x:v>23100</x:v>
      </x:c>
      <x:c r="H125" s="12" t="str">
        <x:v>なし</x:v>
      </x:c>
      <x:c r="I125" s="12" t="str">
        <x:v>2</x:v>
      </x:c>
      <x:c r="J125" s="12" t="str">
        <x:v>https://www.pref.nagano.lg.jp/ringyo/documents/henkou2.pdf</x:v>
      </x:c>
      <x:c r="K125" s="12" t="str">
        <x:v>2026-07-10</x:v>
      </x:c>
    </x:row>
    <x:row r="126">
      <x:c r="A126" s="12" t="str">
        <x:v>佐野山線</x:v>
      </x:c>
      <x:c r="B126" s="12" t="str">
        <x:v>千曲市</x:v>
      </x:c>
      <x:c r="C126" s="12" t="str">
        <x:v>H27-H31第2回変更</x:v>
      </x:c>
      <x:c r="D126" s="12" t="str">
        <x:v>林道改良事業</x:v>
      </x:c>
      <x:c r="E126" s="12" t="str">
        <x:v>林道改良事業（舗装）</x:v>
      </x:c>
      <x:c r="F126" s="12" t="str">
        <x:v>H27</x:v>
      </x:c>
      <x:c r="G126" s="12" t="str">
        <x:v>3100</x:v>
      </x:c>
      <x:c r="H126" s="12" t="str">
        <x:v>なし</x:v>
      </x:c>
      <x:c r="I126" s="12" t="str">
        <x:v>2</x:v>
      </x:c>
      <x:c r="J126" s="12" t="str">
        <x:v>https://www.pref.nagano.lg.jp/ringyo/documents/henkou2.pdf</x:v>
      </x:c>
      <x:c r="K126" s="12" t="str">
        <x:v>2026-07-10</x:v>
      </x:c>
    </x:row>
    <x:row r="127">
      <x:c r="A127" s="12" t="str">
        <x:v>中原入線</x:v>
      </x:c>
      <x:c r="B127" s="12" t="str">
        <x:v>千曲市</x:v>
      </x:c>
      <x:c r="C127" s="12" t="str">
        <x:v>H27-H31第2回変更</x:v>
      </x:c>
      <x:c r="D127" s="12" t="str">
        <x:v>林道改良事業</x:v>
      </x:c>
      <x:c r="E127" s="12" t="str">
        <x:v>林道改良事業（舗装）</x:v>
      </x:c>
      <x:c r="F127" s="12" t="str">
        <x:v>H27～H30</x:v>
      </x:c>
      <x:c r="G127" s="12" t="str">
        <x:v>31000</x:v>
      </x:c>
      <x:c r="H127" s="12" t="str">
        <x:v>なし</x:v>
      </x:c>
      <x:c r="I127" s="12" t="str">
        <x:v>2</x:v>
      </x:c>
      <x:c r="J127" s="12" t="str">
        <x:v>https://www.pref.nagano.lg.jp/ringyo/documents/henkou2.pdf</x:v>
      </x:c>
      <x:c r="K127" s="12" t="str">
        <x:v>2026-07-10</x:v>
      </x:c>
    </x:row>
    <x:row r="128">
      <x:c r="A128" s="12" t="str">
        <x:v>清水平線</x:v>
      </x:c>
      <x:c r="B128" s="12" t="str">
        <x:v>木島平村</x:v>
      </x:c>
      <x:c r="C128" s="12" t="str">
        <x:v>H27-H31第2回変更</x:v>
      </x:c>
      <x:c r="D128" s="12" t="str">
        <x:v>林道改良事業</x:v>
      </x:c>
      <x:c r="E128" s="12" t="str">
        <x:v>林道改良事業（改良）</x:v>
      </x:c>
      <x:c r="F128" s="12" t="str">
        <x:v>H27～H31</x:v>
      </x:c>
      <x:c r="G128" s="12" t="str">
        <x:v>48300</x:v>
      </x:c>
      <x:c r="H128" s="12" t="str">
        <x:v>なし</x:v>
      </x:c>
      <x:c r="I128" s="12" t="str">
        <x:v>2</x:v>
      </x:c>
      <x:c r="J128" s="12" t="str">
        <x:v>https://www.pref.nagano.lg.jp/ringyo/documents/henkou2.pdf</x:v>
      </x:c>
      <x:c r="K128" s="12" t="str">
        <x:v>2026-07-10</x:v>
      </x:c>
    </x:row>
    <x:row r="129">
      <x:c r="A129" s="12" t="str">
        <x:v>秋山線</x:v>
      </x:c>
      <x:c r="B129" s="12" t="str">
        <x:v>栄村</x:v>
      </x:c>
      <x:c r="C129" s="12" t="str">
        <x:v>H27-H31第2回変更</x:v>
      </x:c>
      <x:c r="D129" s="12" t="str">
        <x:v>林道改良事業</x:v>
      </x:c>
      <x:c r="E129" s="12" t="str">
        <x:v>林道改良事業（改良）</x:v>
      </x:c>
      <x:c r="F129" s="12" t="str">
        <x:v>H27～H31</x:v>
      </x:c>
      <x:c r="G129" s="12" t="str">
        <x:v>137300</x:v>
      </x:c>
      <x:c r="H129" s="12" t="str">
        <x:v>なし</x:v>
      </x:c>
      <x:c r="I129" s="12" t="str">
        <x:v>2</x:v>
      </x:c>
      <x:c r="J129" s="12" t="str">
        <x:v>https://www.pref.nagano.lg.jp/ringyo/documents/henkou2.pdf</x:v>
      </x:c>
      <x:c r="K129" s="12" t="str">
        <x:v>2026-07-10</x:v>
      </x:c>
    </x:row>
    <x:row r="130">
      <x:c r="A130" s="12" t="str">
        <x:v>一ノ沢線</x:v>
      </x:c>
      <x:c r="B130" s="12" t="str">
        <x:v>安曇野市</x:v>
      </x:c>
      <x:c r="C130" s="12" t="str">
        <x:v>H27-H31第2回変更</x:v>
      </x:c>
      <x:c r="D130" s="12" t="str">
        <x:v>林道改良事業</x:v>
      </x:c>
      <x:c r="E130" s="12" t="str">
        <x:v>林道改良事業（改良）</x:v>
      </x:c>
      <x:c r="F130" s="12" t="str">
        <x:v>H28～H29</x:v>
      </x:c>
      <x:c r="G130" s="12" t="str">
        <x:v>21300</x:v>
      </x:c>
      <x:c r="H130" s="12" t="str">
        <x:v>なし</x:v>
      </x:c>
      <x:c r="I130" s="12" t="str">
        <x:v>2</x:v>
      </x:c>
      <x:c r="J130" s="12" t="str">
        <x:v>https://www.pref.nagano.lg.jp/ringyo/documents/henkou2.pdf</x:v>
      </x:c>
      <x:c r="K130" s="12" t="str">
        <x:v>2026-07-10</x:v>
      </x:c>
    </x:row>
    <x:row r="131">
      <x:c r="A131" s="12" t="str">
        <x:v>烏川線</x:v>
      </x:c>
      <x:c r="B131" s="12" t="str">
        <x:v>安曇野市</x:v>
      </x:c>
      <x:c r="C131" s="12" t="str">
        <x:v>H27-H31第2回変更</x:v>
      </x:c>
      <x:c r="D131" s="12" t="str">
        <x:v>林道改良事業</x:v>
      </x:c>
      <x:c r="E131" s="12" t="str">
        <x:v>林道改良事業（改良）</x:v>
      </x:c>
      <x:c r="F131" s="12" t="str">
        <x:v>H28～H30</x:v>
      </x:c>
      <x:c r="G131" s="12" t="str">
        <x:v>93900</x:v>
      </x:c>
      <x:c r="H131" s="12" t="str">
        <x:v>なし</x:v>
      </x:c>
      <x:c r="I131" s="12" t="str">
        <x:v>2</x:v>
      </x:c>
      <x:c r="J131" s="12" t="str">
        <x:v>https://www.pref.nagano.lg.jp/ringyo/documents/henkou2.pdf</x:v>
      </x:c>
      <x:c r="K131" s="12" t="str">
        <x:v>2026-07-10</x:v>
      </x:c>
    </x:row>
    <x:row r="132">
      <x:c r="A132" s="12" t="str">
        <x:v>田口十石峠線</x:v>
      </x:c>
      <x:c r="B132" s="12" t="str">
        <x:v>佐久穂町</x:v>
      </x:c>
      <x:c r="C132" s="12" t="str">
        <x:v>R2-R6</x:v>
      </x:c>
      <x:c r="D132" s="12" t="str">
        <x:v>育成林整備事業</x:v>
      </x:c>
      <x:c r="E132" s="12" t="str">
        <x:v>育成林整備事業（林道開設）</x:v>
      </x:c>
      <x:c r="F132" s="12" t="str">
        <x:v>R2～R5</x:v>
      </x:c>
      <x:c r="G132" s="12" t="str">
        <x:v>100000</x:v>
      </x:c>
      <x:c r="H132" s="12" t="str">
        <x:v>なし</x:v>
      </x:c>
      <x:c r="I132" s="12" t="str">
        <x:v>2</x:v>
      </x:c>
      <x:c r="J132" s="12" t="str">
        <x:v>https://www.pref.nagano.lg.jp/ringyo/documents/nousangyosonchikiseibikeikakur2~r6.pdf</x:v>
      </x:c>
      <x:c r="K132" s="12" t="str">
        <x:v>2026-07-10</x:v>
      </x:c>
    </x:row>
    <x:row r="133">
      <x:c r="A133" s="12" t="str">
        <x:v>横河山線</x:v>
      </x:c>
      <x:c r="B133" s="12" t="str">
        <x:v>岡谷市</x:v>
      </x:c>
      <x:c r="C133" s="12" t="str">
        <x:v>R2-R6</x:v>
      </x:c>
      <x:c r="D133" s="12" t="str">
        <x:v>林道改良事業</x:v>
      </x:c>
      <x:c r="E133" s="12" t="str">
        <x:v>林道改良事業（改良）</x:v>
      </x:c>
      <x:c r="F133" s="12" t="str">
        <x:v>R2</x:v>
      </x:c>
      <x:c r="G133" s="12" t="str">
        <x:v>103800</x:v>
      </x:c>
      <x:c r="H133" s="12" t="str">
        <x:v>なし</x:v>
      </x:c>
      <x:c r="I133" s="12" t="str">
        <x:v>2</x:v>
      </x:c>
      <x:c r="J133" s="12" t="str">
        <x:v>https://www.pref.nagano.lg.jp/ringyo/documents/nousangyosonchikiseibikeikakur2~r6.pdf</x:v>
      </x:c>
      <x:c r="K133" s="12" t="str">
        <x:v>2026-07-10</x:v>
      </x:c>
    </x:row>
    <x:row r="134">
      <x:c r="A134" s="12" t="str">
        <x:v>砥沢線</x:v>
      </x:c>
      <x:c r="B134" s="12" t="str">
        <x:v>下諏訪町</x:v>
      </x:c>
      <x:c r="C134" s="12" t="str">
        <x:v>R2-R6</x:v>
      </x:c>
      <x:c r="D134" s="12" t="str">
        <x:v>林道改良事業</x:v>
      </x:c>
      <x:c r="E134" s="12" t="str">
        <x:v>林道改良事業（改良）</x:v>
      </x:c>
      <x:c r="F134" s="12" t="str">
        <x:v>R2</x:v>
      </x:c>
      <x:c r="G134" s="12" t="str">
        <x:v>23600</x:v>
      </x:c>
      <x:c r="H134" s="12" t="str">
        <x:v>なし</x:v>
      </x:c>
      <x:c r="I134" s="12" t="str">
        <x:v>2</x:v>
      </x:c>
      <x:c r="J134" s="12" t="str">
        <x:v>https://www.pref.nagano.lg.jp/ringyo/documents/nousangyosonchikiseibikeikakur2~r6.pdf</x:v>
      </x:c>
      <x:c r="K134" s="12" t="str">
        <x:v>2026-07-10</x:v>
      </x:c>
    </x:row>
    <x:row r="135">
      <x:c r="A135" s="12" t="str">
        <x:v>南アルプス線</x:v>
      </x:c>
      <x:c r="B135" s="12" t="str">
        <x:v>伊那市</x:v>
      </x:c>
      <x:c r="C135" s="12" t="str">
        <x:v>R2-R6</x:v>
      </x:c>
      <x:c r="D135" s="12" t="str">
        <x:v>林道改良事業</x:v>
      </x:c>
      <x:c r="E135" s="12" t="str">
        <x:v>林道改良事業（改良）</x:v>
      </x:c>
      <x:c r="F135" s="12" t="str">
        <x:v>R2～R6</x:v>
      </x:c>
      <x:c r="G135" s="12" t="str">
        <x:v>152100</x:v>
      </x:c>
      <x:c r="H135" s="12" t="str">
        <x:v>なし</x:v>
      </x:c>
      <x:c r="I135" s="12" t="str">
        <x:v>2</x:v>
      </x:c>
      <x:c r="J135" s="12" t="str">
        <x:v>https://www.pref.nagano.lg.jp/ringyo/documents/nousangyosonchikiseibikeikakur2~r6.pdf</x:v>
      </x:c>
      <x:c r="K135" s="12" t="str">
        <x:v>2026-07-10</x:v>
      </x:c>
    </x:row>
    <x:row r="136">
      <x:c r="A136" s="12" t="str">
        <x:v>日影入線</x:v>
      </x:c>
      <x:c r="B136" s="12" t="str">
        <x:v>箕輪町</x:v>
      </x:c>
      <x:c r="C136" s="12" t="str">
        <x:v>R2-R6</x:v>
      </x:c>
      <x:c r="D136" s="12" t="str">
        <x:v>林道改良事業</x:v>
      </x:c>
      <x:c r="E136" s="12" t="str">
        <x:v>林道改良事業（改良）</x:v>
      </x:c>
      <x:c r="F136" s="12" t="str">
        <x:v>R2～R6</x:v>
      </x:c>
      <x:c r="G136" s="12" t="str">
        <x:v>40400</x:v>
      </x:c>
      <x:c r="H136" s="12" t="str">
        <x:v>なし</x:v>
      </x:c>
      <x:c r="I136" s="12" t="str">
        <x:v>2</x:v>
      </x:c>
      <x:c r="J136" s="12" t="str">
        <x:v>https://www.pref.nagano.lg.jp/ringyo/documents/nousangyosonchikiseibikeikakur2~r6.pdf</x:v>
      </x:c>
      <x:c r="K136" s="12" t="str">
        <x:v>2026-07-10</x:v>
      </x:c>
    </x:row>
    <x:row r="137">
      <x:c r="A137" s="12" t="str">
        <x:v>千代田湖枯木線</x:v>
      </x:c>
      <x:c r="B137" s="12" t="str">
        <x:v>伊那市</x:v>
      </x:c>
      <x:c r="C137" s="12" t="str">
        <x:v>R2-R6</x:v>
      </x:c>
      <x:c r="D137" s="12" t="str">
        <x:v>林道改良事業</x:v>
      </x:c>
      <x:c r="E137" s="12" t="str">
        <x:v>林道改良事業（改良）</x:v>
      </x:c>
      <x:c r="F137" s="12" t="str">
        <x:v>R2～R4</x:v>
      </x:c>
      <x:c r="G137" s="12" t="str">
        <x:v>42900</x:v>
      </x:c>
      <x:c r="H137" s="12" t="str">
        <x:v>なし</x:v>
      </x:c>
      <x:c r="I137" s="12" t="str">
        <x:v>2</x:v>
      </x:c>
      <x:c r="J137" s="12" t="str">
        <x:v>https://www.pref.nagano.lg.jp/ringyo/documents/nousangyosonchikiseibikeikakur2~r6.pdf</x:v>
      </x:c>
      <x:c r="K137" s="12" t="str">
        <x:v>2026-07-10</x:v>
      </x:c>
    </x:row>
    <x:row r="138">
      <x:c r="A138" s="12" t="str">
        <x:v>古城線</x:v>
      </x:c>
      <x:c r="B138" s="12" t="str">
        <x:v>駒ヶ根市</x:v>
      </x:c>
      <x:c r="C138" s="12" t="str">
        <x:v>R2-R6</x:v>
      </x:c>
      <x:c r="D138" s="12" t="str">
        <x:v>林道改良事業</x:v>
      </x:c>
      <x:c r="E138" s="12" t="str">
        <x:v>林道改良事業（改良）</x:v>
      </x:c>
      <x:c r="F138" s="12" t="str">
        <x:v>R2～R6</x:v>
      </x:c>
      <x:c r="G138" s="12" t="str">
        <x:v>77200</x:v>
      </x:c>
      <x:c r="H138" s="12" t="str">
        <x:v>なし</x:v>
      </x:c>
      <x:c r="I138" s="12" t="str">
        <x:v>2</x:v>
      </x:c>
      <x:c r="J138" s="12" t="str">
        <x:v>https://www.pref.nagano.lg.jp/ringyo/documents/nousangyosonchikiseibikeikakur2~r6.pdf</x:v>
      </x:c>
      <x:c r="K138" s="12" t="str">
        <x:v>2026-07-10</x:v>
      </x:c>
    </x:row>
    <x:row r="139">
      <x:c r="A139" s="12" t="str">
        <x:v>宮ノ沢線</x:v>
      </x:c>
      <x:c r="B139" s="12" t="str">
        <x:v>飯島町</x:v>
      </x:c>
      <x:c r="C139" s="12" t="str">
        <x:v>R2-R6</x:v>
      </x:c>
      <x:c r="D139" s="12" t="str">
        <x:v>林道改良事業</x:v>
      </x:c>
      <x:c r="E139" s="12" t="str">
        <x:v>林道改良事業（改良）</x:v>
      </x:c>
      <x:c r="F139" s="12" t="str">
        <x:v>R2～R3</x:v>
      </x:c>
      <x:c r="G139" s="12" t="str">
        <x:v>9900</x:v>
      </x:c>
      <x:c r="H139" s="12" t="str">
        <x:v>なし</x:v>
      </x:c>
      <x:c r="I139" s="12" t="str">
        <x:v>2</x:v>
      </x:c>
      <x:c r="J139" s="12" t="str">
        <x:v>https://www.pref.nagano.lg.jp/ringyo/documents/nousangyosonchikiseibikeikakur2~r6.pdf</x:v>
      </x:c>
      <x:c r="K139" s="12" t="str">
        <x:v>2026-07-10</x:v>
      </x:c>
    </x:row>
    <x:row r="140">
      <x:c r="A140" s="12" t="str">
        <x:v>辰巳ヶ沢入線</x:v>
      </x:c>
      <x:c r="B140" s="12" t="str">
        <x:v>飯島町</x:v>
      </x:c>
      <x:c r="C140" s="12" t="str">
        <x:v>R2-R6</x:v>
      </x:c>
      <x:c r="D140" s="12" t="str">
        <x:v>林道改良事業</x:v>
      </x:c>
      <x:c r="E140" s="12" t="str">
        <x:v>林道改良事業（舗装）</x:v>
      </x:c>
      <x:c r="F140" s="12" t="str">
        <x:v>R2～R4</x:v>
      </x:c>
      <x:c r="G140" s="12" t="str">
        <x:v>23800</x:v>
      </x:c>
      <x:c r="H140" s="12" t="str">
        <x:v>なし</x:v>
      </x:c>
      <x:c r="I140" s="12" t="str">
        <x:v>2</x:v>
      </x:c>
      <x:c r="J140" s="12" t="str">
        <x:v>https://www.pref.nagano.lg.jp/ringyo/documents/nousangyosonchikiseibikeikakur2~r6.pdf</x:v>
      </x:c>
      <x:c r="K140" s="12" t="str">
        <x:v>2026-07-10</x:v>
      </x:c>
    </x:row>
    <x:row r="141">
      <x:c r="A141" s="12" t="str">
        <x:v>不動滝線</x:v>
      </x:c>
      <x:c r="B141" s="12" t="str">
        <x:v>高森町</x:v>
      </x:c>
      <x:c r="C141" s="12" t="str">
        <x:v>R2-R6</x:v>
      </x:c>
      <x:c r="D141" s="12" t="str">
        <x:v>林道改良事業</x:v>
      </x:c>
      <x:c r="E141" s="12" t="str">
        <x:v>林道改良事業（改良）</x:v>
      </x:c>
      <x:c r="F141" s="12" t="str">
        <x:v>R2～R4</x:v>
      </x:c>
      <x:c r="G141" s="12" t="str">
        <x:v>51040</x:v>
      </x:c>
      <x:c r="H141" s="12" t="str">
        <x:v>なし</x:v>
      </x:c>
      <x:c r="I141" s="12" t="str">
        <x:v>2</x:v>
      </x:c>
      <x:c r="J141" s="12" t="str">
        <x:v>https://www.pref.nagano.lg.jp/ringyo/documents/nousangyosonchikiseibikeikakur2~r6.pdf</x:v>
      </x:c>
      <x:c r="K141" s="12" t="str">
        <x:v>2026-07-10</x:v>
      </x:c>
    </x:row>
    <x:row r="142">
      <x:c r="A142" s="12" t="str">
        <x:v>二又沢線</x:v>
      </x:c>
      <x:c r="B142" s="12" t="str">
        <x:v>高森町</x:v>
      </x:c>
      <x:c r="C142" s="12" t="str">
        <x:v>R2-R6</x:v>
      </x:c>
      <x:c r="D142" s="12" t="str">
        <x:v>林道改良事業</x:v>
      </x:c>
      <x:c r="E142" s="12" t="str">
        <x:v>林道改良事業（改良）</x:v>
      </x:c>
      <x:c r="F142" s="12" t="str">
        <x:v>R5</x:v>
      </x:c>
      <x:c r="G142" s="12" t="str">
        <x:v>10100</x:v>
      </x:c>
      <x:c r="H142" s="12" t="str">
        <x:v>なし</x:v>
      </x:c>
      <x:c r="I142" s="12" t="str">
        <x:v>2</x:v>
      </x:c>
      <x:c r="J142" s="12" t="str">
        <x:v>https://www.pref.nagano.lg.jp/ringyo/documents/nousangyosonchikiseibikeikakur2~r6.pdf</x:v>
      </x:c>
      <x:c r="K142" s="12" t="str">
        <x:v>2026-07-10</x:v>
      </x:c>
    </x:row>
    <x:row r="143">
      <x:c r="A143" s="12" t="str">
        <x:v>売木うつぼ線</x:v>
      </x:c>
      <x:c r="B143" s="12" t="str">
        <x:v>阿南町</x:v>
      </x:c>
      <x:c r="C143" s="12" t="str">
        <x:v>R2-R6</x:v>
      </x:c>
      <x:c r="D143" s="12" t="str">
        <x:v>林道改良事業</x:v>
      </x:c>
      <x:c r="E143" s="12" t="str">
        <x:v>林道改良事業（改良）</x:v>
      </x:c>
      <x:c r="F143" s="12" t="str">
        <x:v>R3</x:v>
      </x:c>
      <x:c r="G143" s="12" t="str">
        <x:v>25000</x:v>
      </x:c>
      <x:c r="H143" s="12" t="str">
        <x:v>なし</x:v>
      </x:c>
      <x:c r="I143" s="12" t="str">
        <x:v>2</x:v>
      </x:c>
      <x:c r="J143" s="12" t="str">
        <x:v>https://www.pref.nagano.lg.jp/ringyo/documents/nousangyosonchikiseibikeikakur2~r6.pdf</x:v>
      </x:c>
      <x:c r="K143" s="12" t="str">
        <x:v>2026-07-10</x:v>
      </x:c>
    </x:row>
    <x:row r="144">
      <x:c r="A144" s="12" t="str">
        <x:v>大久那線</x:v>
      </x:c>
      <x:c r="B144" s="12" t="str">
        <x:v>阿南町</x:v>
      </x:c>
      <x:c r="C144" s="12" t="str">
        <x:v>R2-R6</x:v>
      </x:c>
      <x:c r="D144" s="12" t="str">
        <x:v>林道改良事業</x:v>
      </x:c>
      <x:c r="E144" s="12" t="str">
        <x:v>林道改良事業（改良）</x:v>
      </x:c>
      <x:c r="F144" s="12" t="str">
        <x:v>R4</x:v>
      </x:c>
      <x:c r="G144" s="12" t="str">
        <x:v>25000</x:v>
      </x:c>
      <x:c r="H144" s="12" t="str">
        <x:v>なし</x:v>
      </x:c>
      <x:c r="I144" s="12" t="str">
        <x:v>2</x:v>
      </x:c>
      <x:c r="J144" s="12" t="str">
        <x:v>https://www.pref.nagano.lg.jp/ringyo/documents/nousangyosonchikiseibikeikakur2~r6.pdf</x:v>
      </x:c>
      <x:c r="K144" s="12" t="str">
        <x:v>2026-07-10</x:v>
      </x:c>
    </x:row>
    <x:row r="145">
      <x:c r="A145" s="12" t="str">
        <x:v>門原線</x:v>
      </x:c>
      <x:c r="B145" s="12" t="str">
        <x:v>阿南町</x:v>
      </x:c>
      <x:c r="C145" s="12" t="str">
        <x:v>R2-R6</x:v>
      </x:c>
      <x:c r="D145" s="12" t="str">
        <x:v>林道改良事業</x:v>
      </x:c>
      <x:c r="E145" s="12" t="str">
        <x:v>林道改良事業（改良）</x:v>
      </x:c>
      <x:c r="F145" s="12" t="str">
        <x:v>R2</x:v>
      </x:c>
      <x:c r="G145" s="12" t="str">
        <x:v>23320</x:v>
      </x:c>
      <x:c r="H145" s="12" t="str">
        <x:v>なし</x:v>
      </x:c>
      <x:c r="I145" s="12" t="str">
        <x:v>2</x:v>
      </x:c>
      <x:c r="J145" s="12" t="str">
        <x:v>https://www.pref.nagano.lg.jp/ringyo/documents/nousangyosonchikiseibikeikakur2~r6.pdf</x:v>
      </x:c>
      <x:c r="K145" s="12" t="str">
        <x:v>2026-07-10</x:v>
      </x:c>
    </x:row>
    <x:row r="146">
      <x:c r="A146" s="12" t="str">
        <x:v>本洞線</x:v>
      </x:c>
      <x:c r="B146" s="12" t="str">
        <x:v>根羽村</x:v>
      </x:c>
      <x:c r="C146" s="12" t="str">
        <x:v>R2-R6</x:v>
      </x:c>
      <x:c r="D146" s="12" t="str">
        <x:v>林道改良事業</x:v>
      </x:c>
      <x:c r="E146" s="12" t="str">
        <x:v>林道改良事業（改良）</x:v>
      </x:c>
      <x:c r="F146" s="12" t="str">
        <x:v>R2</x:v>
      </x:c>
      <x:c r="G146" s="12" t="str">
        <x:v>23100</x:v>
      </x:c>
      <x:c r="H146" s="12" t="str">
        <x:v>なし</x:v>
      </x:c>
      <x:c r="I146" s="12" t="str">
        <x:v>2</x:v>
      </x:c>
      <x:c r="J146" s="12" t="str">
        <x:v>https://www.pref.nagano.lg.jp/ringyo/documents/nousangyosonchikiseibikeikakur2~r6.pdf</x:v>
      </x:c>
      <x:c r="K146" s="12" t="str">
        <x:v>2026-07-10</x:v>
      </x:c>
    </x:row>
    <x:row r="147">
      <x:c r="A147" s="12" t="str">
        <x:v>本洞線</x:v>
      </x:c>
      <x:c r="B147" s="12" t="str">
        <x:v>根羽村</x:v>
      </x:c>
      <x:c r="C147" s="12" t="str">
        <x:v>R2-R6</x:v>
      </x:c>
      <x:c r="D147" s="12" t="str">
        <x:v>林道改良事業</x:v>
      </x:c>
      <x:c r="E147" s="12" t="str">
        <x:v>林道改良事業（舗装）</x:v>
      </x:c>
      <x:c r="F147" s="12" t="str">
        <x:v>R2～R6</x:v>
      </x:c>
      <x:c r="G147" s="12" t="str">
        <x:v>119100</x:v>
      </x:c>
      <x:c r="H147" s="12" t="str">
        <x:v>なし</x:v>
      </x:c>
      <x:c r="I147" s="12" t="str">
        <x:v>2</x:v>
      </x:c>
      <x:c r="J147" s="12" t="str">
        <x:v>https://www.pref.nagano.lg.jp/ringyo/documents/nousangyosonchikiseibikeikakur2~r6.pdf</x:v>
      </x:c>
      <x:c r="K147" s="12" t="str">
        <x:v>2026-07-10</x:v>
      </x:c>
    </x:row>
    <x:row r="148">
      <x:c r="A148" s="12" t="str">
        <x:v>虫川新野峠線</x:v>
      </x:c>
      <x:c r="B148" s="12" t="str">
        <x:v>天龍村</x:v>
      </x:c>
      <x:c r="C148" s="12" t="str">
        <x:v>R2-R6</x:v>
      </x:c>
      <x:c r="D148" s="12" t="str">
        <x:v>林道改良事業</x:v>
      </x:c>
      <x:c r="E148" s="12" t="str">
        <x:v>林道改良事業（舗装）</x:v>
      </x:c>
      <x:c r="F148" s="12" t="str">
        <x:v>R2～R6</x:v>
      </x:c>
      <x:c r="G148" s="12" t="str">
        <x:v>149680</x:v>
      </x:c>
      <x:c r="H148" s="12" t="str">
        <x:v>なし</x:v>
      </x:c>
      <x:c r="I148" s="12" t="str">
        <x:v>2</x:v>
      </x:c>
      <x:c r="J148" s="12" t="str">
        <x:v>https://www.pref.nagano.lg.jp/ringyo/documents/nousangyosonchikiseibikeikakur2~r6.pdf</x:v>
      </x:c>
      <x:c r="K148" s="12" t="str">
        <x:v>2026-07-10</x:v>
      </x:c>
    </x:row>
    <x:row r="149">
      <x:c r="A149" s="12" t="str">
        <x:v>大恵曽線</x:v>
      </x:c>
      <x:c r="B149" s="12" t="str">
        <x:v>泰阜村</x:v>
      </x:c>
      <x:c r="C149" s="12" t="str">
        <x:v>R2-R6</x:v>
      </x:c>
      <x:c r="D149" s="12" t="str">
        <x:v>林道改良事業</x:v>
      </x:c>
      <x:c r="E149" s="12" t="str">
        <x:v>林道改良事業（改良）</x:v>
      </x:c>
      <x:c r="F149" s="12" t="str">
        <x:v>R2</x:v>
      </x:c>
      <x:c r="G149" s="12" t="str">
        <x:v>10100</x:v>
      </x:c>
      <x:c r="H149" s="12" t="str">
        <x:v>なし</x:v>
      </x:c>
      <x:c r="I149" s="12" t="str">
        <x:v>2</x:v>
      </x:c>
      <x:c r="J149" s="12" t="str">
        <x:v>https://www.pref.nagano.lg.jp/ringyo/documents/nousangyosonchikiseibikeikakur2~r6.pdf</x:v>
      </x:c>
      <x:c r="K149" s="12" t="str">
        <x:v>2026-07-10</x:v>
      </x:c>
    </x:row>
    <x:row r="150">
      <x:c r="A150" s="12" t="str">
        <x:v>川端線</x:v>
      </x:c>
      <x:c r="B150" s="12" t="str">
        <x:v>泰阜村</x:v>
      </x:c>
      <x:c r="C150" s="12" t="str">
        <x:v>R2-R6</x:v>
      </x:c>
      <x:c r="D150" s="12" t="str">
        <x:v>林道改良事業</x:v>
      </x:c>
      <x:c r="E150" s="12" t="str">
        <x:v>林道改良事業（改良）</x:v>
      </x:c>
      <x:c r="F150" s="12" t="str">
        <x:v>R3～R6</x:v>
      </x:c>
      <x:c r="G150" s="12" t="str">
        <x:v>40400</x:v>
      </x:c>
      <x:c r="H150" s="12" t="str">
        <x:v>なし</x:v>
      </x:c>
      <x:c r="I150" s="12" t="str">
        <x:v>2</x:v>
      </x:c>
      <x:c r="J150" s="12" t="str">
        <x:v>https://www.pref.nagano.lg.jp/ringyo/documents/nousangyosonchikiseibikeikakur2~r6.pdf</x:v>
      </x:c>
      <x:c r="K150" s="12" t="str">
        <x:v>2026-07-10</x:v>
      </x:c>
    </x:row>
    <x:row r="151">
      <x:c r="A151" s="12" t="str">
        <x:v>美ヶ原線</x:v>
      </x:c>
      <x:c r="B151" s="12" t="str">
        <x:v>松本市</x:v>
      </x:c>
      <x:c r="C151" s="12" t="str">
        <x:v>R2-R6</x:v>
      </x:c>
      <x:c r="D151" s="12" t="str">
        <x:v>林道改良事業</x:v>
      </x:c>
      <x:c r="E151" s="12" t="str">
        <x:v>林道改良事業（改良）</x:v>
      </x:c>
      <x:c r="F151" s="12" t="str">
        <x:v>R2～R6</x:v>
      </x:c>
      <x:c r="G151" s="12" t="str">
        <x:v>161100</x:v>
      </x:c>
      <x:c r="H151" s="12" t="str">
        <x:v>なし</x:v>
      </x:c>
      <x:c r="I151" s="12" t="str">
        <x:v>2</x:v>
      </x:c>
      <x:c r="J151" s="12" t="str">
        <x:v>https://www.pref.nagano.lg.jp/ringyo/documents/nousangyosonchikiseibikeikakur2~r6.pdf</x:v>
      </x:c>
      <x:c r="K151" s="12" t="str">
        <x:v>2026-07-10</x:v>
      </x:c>
    </x:row>
    <x:row r="152">
      <x:c r="A152" s="12" t="str">
        <x:v>宮ノ入線</x:v>
      </x:c>
      <x:c r="B152" s="12" t="str">
        <x:v>松本市</x:v>
      </x:c>
      <x:c r="C152" s="12" t="str">
        <x:v>R2-R6</x:v>
      </x:c>
      <x:c r="D152" s="12" t="str">
        <x:v>林道改良事業</x:v>
      </x:c>
      <x:c r="E152" s="12" t="str">
        <x:v>林道改良事業（改良）</x:v>
      </x:c>
      <x:c r="F152" s="12" t="str">
        <x:v>R2～R6</x:v>
      </x:c>
      <x:c r="G152" s="12" t="str">
        <x:v>107600</x:v>
      </x:c>
      <x:c r="H152" s="12" t="str">
        <x:v>なし</x:v>
      </x:c>
      <x:c r="I152" s="12" t="str">
        <x:v>2</x:v>
      </x:c>
      <x:c r="J152" s="12" t="str">
        <x:v>https://www.pref.nagano.lg.jp/ringyo/documents/nousangyosonchikiseibikeikakur2~r6.pdf</x:v>
      </x:c>
      <x:c r="K152" s="12" t="str">
        <x:v>2026-07-10</x:v>
      </x:c>
    </x:row>
    <x:row r="153">
      <x:c r="A153" s="12" t="str">
        <x:v>奈川安曇線</x:v>
      </x:c>
      <x:c r="B153" s="12" t="str">
        <x:v>松本市</x:v>
      </x:c>
      <x:c r="C153" s="12" t="str">
        <x:v>R2-R6</x:v>
      </x:c>
      <x:c r="D153" s="12" t="str">
        <x:v>林道改良事業</x:v>
      </x:c>
      <x:c r="E153" s="12" t="str">
        <x:v>林道改良事業（改良）</x:v>
      </x:c>
      <x:c r="F153" s="12" t="str">
        <x:v>R2～R6</x:v>
      </x:c>
      <x:c r="G153" s="12" t="str">
        <x:v>241340</x:v>
      </x:c>
      <x:c r="H153" s="12" t="str">
        <x:v>なし</x:v>
      </x:c>
      <x:c r="I153" s="12" t="str">
        <x:v>2</x:v>
      </x:c>
      <x:c r="J153" s="12" t="str">
        <x:v>https://www.pref.nagano.lg.jp/ringyo/documents/nousangyosonchikiseibikeikakur2~r6.pdf</x:v>
      </x:c>
      <x:c r="K153" s="12" t="str">
        <x:v>2026-07-10</x:v>
      </x:c>
    </x:row>
    <x:row r="154">
      <x:c r="A154" s="12" t="str">
        <x:v>片丘線</x:v>
      </x:c>
      <x:c r="B154" s="12" t="str">
        <x:v>塩尻市</x:v>
      </x:c>
      <x:c r="C154" s="12" t="str">
        <x:v>R2-R6</x:v>
      </x:c>
      <x:c r="D154" s="12" t="str">
        <x:v>林道改良事業</x:v>
      </x:c>
      <x:c r="E154" s="12" t="str">
        <x:v>林道改良事業（改良）</x:v>
      </x:c>
      <x:c r="F154" s="12" t="str">
        <x:v>R2～R4</x:v>
      </x:c>
      <x:c r="G154" s="12" t="str">
        <x:v>72600</x:v>
      </x:c>
      <x:c r="H154" s="12" t="str">
        <x:v>なし</x:v>
      </x:c>
      <x:c r="I154" s="12" t="str">
        <x:v>2</x:v>
      </x:c>
      <x:c r="J154" s="12" t="str">
        <x:v>https://www.pref.nagano.lg.jp/ringyo/documents/nousangyosonchikiseibikeikakur2~r6.pdf</x:v>
      </x:c>
      <x:c r="K154" s="12" t="str">
        <x:v>2026-07-10</x:v>
      </x:c>
    </x:row>
    <x:row r="155">
      <x:c r="A155" s="12" t="str">
        <x:v>烏川線</x:v>
      </x:c>
      <x:c r="B155" s="12" t="str">
        <x:v>安曇野市</x:v>
      </x:c>
      <x:c r="C155" s="12" t="str">
        <x:v>R2-R6</x:v>
      </x:c>
      <x:c r="D155" s="12" t="str">
        <x:v>林道改良事業</x:v>
      </x:c>
      <x:c r="E155" s="12" t="str">
        <x:v>林道改良事業（改良）</x:v>
      </x:c>
      <x:c r="F155" s="12" t="str">
        <x:v>R2</x:v>
      </x:c>
      <x:c r="G155" s="12" t="str">
        <x:v>17200</x:v>
      </x:c>
      <x:c r="H155" s="12" t="str">
        <x:v>なし</x:v>
      </x:c>
      <x:c r="I155" s="12" t="str">
        <x:v>2</x:v>
      </x:c>
      <x:c r="J155" s="12" t="str">
        <x:v>https://www.pref.nagano.lg.jp/ringyo/documents/nousangyosonchikiseibikeikakur2~r6.pdf</x:v>
      </x:c>
      <x:c r="K155" s="12" t="str">
        <x:v>2026-07-10</x:v>
      </x:c>
    </x:row>
    <x:row r="156">
      <x:c r="A156" s="12" t="str">
        <x:v>氷室線</x:v>
      </x:c>
      <x:c r="B156" s="12" t="str">
        <x:v>筑北村</x:v>
      </x:c>
      <x:c r="C156" s="12" t="str">
        <x:v>R2-R6</x:v>
      </x:c>
      <x:c r="D156" s="12" t="str">
        <x:v>林道改良事業</x:v>
      </x:c>
      <x:c r="E156" s="12" t="str">
        <x:v>林道改良事業（改良）</x:v>
      </x:c>
      <x:c r="F156" s="12" t="str">
        <x:v>R2</x:v>
      </x:c>
      <x:c r="G156" s="12" t="str">
        <x:v>14400</x:v>
      </x:c>
      <x:c r="H156" s="12" t="str">
        <x:v>なし</x:v>
      </x:c>
      <x:c r="I156" s="12" t="str">
        <x:v>2</x:v>
      </x:c>
      <x:c r="J156" s="12" t="str">
        <x:v>https://www.pref.nagano.lg.jp/ringyo/documents/nousangyosonchikiseibikeikakur2~r6.pdf</x:v>
      </x:c>
      <x:c r="K156" s="12" t="str">
        <x:v>2026-07-10</x:v>
      </x:c>
    </x:row>
    <x:row r="157">
      <x:c r="A157" s="12" t="str">
        <x:v>矢崎線</x:v>
      </x:c>
      <x:c r="B157" s="12" t="str">
        <x:v>中野市</x:v>
      </x:c>
      <x:c r="C157" s="12" t="str">
        <x:v>R2-R6</x:v>
      </x:c>
      <x:c r="D157" s="12" t="str">
        <x:v>林道改良事業</x:v>
      </x:c>
      <x:c r="E157" s="12" t="str">
        <x:v>林道改良事業（改良）</x:v>
      </x:c>
      <x:c r="F157" s="12" t="str">
        <x:v>R2～R3</x:v>
      </x:c>
      <x:c r="G157" s="12" t="str">
        <x:v>31800</x:v>
      </x:c>
      <x:c r="H157" s="12" t="str">
        <x:v>なし</x:v>
      </x:c>
      <x:c r="I157" s="12" t="str">
        <x:v>2</x:v>
      </x:c>
      <x:c r="J157" s="12" t="str">
        <x:v>https://www.pref.nagano.lg.jp/ringyo/documents/nousangyosonchikiseibikeikakur2~r6.pdf</x:v>
      </x:c>
      <x:c r="K157" s="12" t="str">
        <x:v>2026-07-10</x:v>
      </x:c>
    </x:row>
    <x:row r="158">
      <x:c r="A158" s="12" t="str">
        <x:v>金倉竜王線</x:v>
      </x:c>
      <x:c r="B158" s="12" t="str">
        <x:v>山ノ内町</x:v>
      </x:c>
      <x:c r="C158" s="12" t="str">
        <x:v>R2-R6</x:v>
      </x:c>
      <x:c r="D158" s="12" t="str">
        <x:v>林道改良事業</x:v>
      </x:c>
      <x:c r="E158" s="12" t="str">
        <x:v>林道改良事業（改良）</x:v>
      </x:c>
      <x:c r="F158" s="12" t="str">
        <x:v>R2</x:v>
      </x:c>
      <x:c r="G158" s="12" t="str">
        <x:v>10600</x:v>
      </x:c>
      <x:c r="H158" s="12" t="str">
        <x:v>なし</x:v>
      </x:c>
      <x:c r="I158" s="12" t="str">
        <x:v>2</x:v>
      </x:c>
      <x:c r="J158" s="12" t="str">
        <x:v>https://www.pref.nagano.lg.jp/ringyo/documents/nousangyosonchikiseibikeikakur2~r6.pdf</x:v>
      </x:c>
      <x:c r="K158" s="12" t="str">
        <x:v>2026-07-10</x:v>
      </x:c>
    </x:row>
    <x:row r="159">
      <x:c r="A159" s="12" t="str">
        <x:v>清水平線</x:v>
      </x:c>
      <x:c r="B159" s="12" t="str">
        <x:v>木島平村</x:v>
      </x:c>
      <x:c r="C159" s="12" t="str">
        <x:v>R2-R6</x:v>
      </x:c>
      <x:c r="D159" s="12" t="str">
        <x:v>林道改良事業</x:v>
      </x:c>
      <x:c r="E159" s="12" t="str">
        <x:v>林道改良事業（改良）</x:v>
      </x:c>
      <x:c r="F159" s="12" t="str">
        <x:v>R2～R6</x:v>
      </x:c>
      <x:c r="G159" s="12" t="str">
        <x:v>49000</x:v>
      </x:c>
      <x:c r="H159" s="12" t="str">
        <x:v>なし</x:v>
      </x:c>
      <x:c r="I159" s="12" t="str">
        <x:v>2</x:v>
      </x:c>
      <x:c r="J159" s="12" t="str">
        <x:v>https://www.pref.nagano.lg.jp/ringyo/documents/nousangyosonchikiseibikeikakur2~r6.pdf</x:v>
      </x:c>
      <x:c r="K159" s="12" t="str">
        <x:v>2026-07-10</x:v>
      </x:c>
    </x:row>
    <x:row r="160">
      <x:c r="A160" s="12" t="str">
        <x:v>秋山線</x:v>
      </x:c>
      <x:c r="B160" s="12" t="str">
        <x:v>栄村</x:v>
      </x:c>
      <x:c r="C160" s="12" t="str">
        <x:v>R2-R6</x:v>
      </x:c>
      <x:c r="D160" s="12" t="str">
        <x:v>林道改良事業</x:v>
      </x:c>
      <x:c r="E160" s="12" t="str">
        <x:v>林道改良事業（改良）</x:v>
      </x:c>
      <x:c r="F160" s="12" t="str">
        <x:v>R2～R6</x:v>
      </x:c>
      <x:c r="G160" s="12" t="str">
        <x:v>31300</x:v>
      </x:c>
      <x:c r="H160" s="12" t="str">
        <x:v>なし</x:v>
      </x:c>
      <x:c r="I160" s="12" t="str">
        <x:v>2</x:v>
      </x:c>
      <x:c r="J160" s="12" t="str">
        <x:v>https://www.pref.nagano.lg.jp/ringyo/documents/nousangyosonchikiseibikeikakur2~r6.pdf</x:v>
      </x:c>
      <x:c r="K160" s="12" t="str">
        <x:v>2026-07-10</x:v>
      </x:c>
    </x:row>
    <x:row r="161">
      <x:c r="A161" s="12" t="str">
        <x:v>田口十石峠線</x:v>
      </x:c>
      <x:c r="B161" s="12" t="str">
        <x:v>佐久穂町</x:v>
      </x:c>
      <x:c r="C161" s="12" t="str">
        <x:v>R2-R6第2回変更</x:v>
      </x:c>
      <x:c r="D161" s="12" t="str">
        <x:v>フォレスト・コミュニティ総合整備事業</x:v>
      </x:c>
      <x:c r="E161" s="12" t="str">
        <x:v>フォレスト・コミュニティ総合整備事業（林道開設）</x:v>
      </x:c>
      <x:c r="F161" s="12" t="str">
        <x:v>R2～R5</x:v>
      </x:c>
      <x:c r="G161" s="12" t="str">
        <x:v>169500</x:v>
      </x:c>
      <x:c r="H161" s="12" t="str">
        <x:v>なし</x:v>
      </x:c>
      <x:c r="I161" s="12" t="str">
        <x:v>3</x:v>
      </x:c>
      <x:c r="J161" s="12" t="str">
        <x:v>https://www.pref.nagano.lg.jp/ringyo/documents/2022_01keikaku.pdf</x:v>
      </x:c>
      <x:c r="K161" s="12" t="str">
        <x:v>2026-07-10</x:v>
      </x:c>
    </x:row>
    <x:row r="162">
      <x:c r="A162" s="12" t="str">
        <x:v>鹿曲川線</x:v>
      </x:c>
      <x:c r="B162" s="12" t="str">
        <x:v>佐久市</x:v>
      </x:c>
      <x:c r="C162" s="12" t="str">
        <x:v>R2-R6第2回変更</x:v>
      </x:c>
      <x:c r="D162" s="12" t="str">
        <x:v>林道改良事業</x:v>
      </x:c>
      <x:c r="E162" s="12" t="str">
        <x:v>林道改良事業（改良）</x:v>
      </x:c>
      <x:c r="F162" s="12" t="str">
        <x:v>R3</x:v>
      </x:c>
      <x:c r="G162" s="12" t="str">
        <x:v>10600</x:v>
      </x:c>
      <x:c r="H162" s="12" t="str">
        <x:v>なし</x:v>
      </x:c>
      <x:c r="I162" s="12" t="str">
        <x:v>3</x:v>
      </x:c>
      <x:c r="J162" s="12" t="str">
        <x:v>https://www.pref.nagano.lg.jp/ringyo/documents/2022_01keikaku.pdf</x:v>
      </x:c>
      <x:c r="K162" s="12" t="str">
        <x:v>2026-07-10</x:v>
      </x:c>
    </x:row>
    <x:row r="163">
      <x:c r="A163" s="12" t="str">
        <x:v>山口沢線</x:v>
      </x:c>
      <x:c r="B163" s="12" t="str">
        <x:v>佐久市</x:v>
      </x:c>
      <x:c r="C163" s="12" t="str">
        <x:v>R2-R6第2回変更</x:v>
      </x:c>
      <x:c r="D163" s="12" t="str">
        <x:v>林道改良事業</x:v>
      </x:c>
      <x:c r="E163" s="12" t="str">
        <x:v>林道改良事業（改良）</x:v>
      </x:c>
      <x:c r="F163" s="12" t="str">
        <x:v>R4</x:v>
      </x:c>
      <x:c r="G163" s="12" t="str">
        <x:v>16000</x:v>
      </x:c>
      <x:c r="H163" s="12" t="str">
        <x:v>なし</x:v>
      </x:c>
      <x:c r="I163" s="12" t="str">
        <x:v>3</x:v>
      </x:c>
      <x:c r="J163" s="12" t="str">
        <x:v>https://www.pref.nagano.lg.jp/ringyo/documents/2022_01keikaku.pdf</x:v>
      </x:c>
      <x:c r="K163" s="12" t="str">
        <x:v>2026-07-10</x:v>
      </x:c>
    </x:row>
    <x:row r="164">
      <x:c r="A164" s="12" t="str">
        <x:v>八ヶ岳線</x:v>
      </x:c>
      <x:c r="B164" s="12" t="str">
        <x:v>小海町</x:v>
      </x:c>
      <x:c r="C164" s="12" t="str">
        <x:v>R2-R6第2回変更</x:v>
      </x:c>
      <x:c r="D164" s="12" t="str">
        <x:v>林道改良事業</x:v>
      </x:c>
      <x:c r="E164" s="12" t="str">
        <x:v>林道改良事業（改良）</x:v>
      </x:c>
      <x:c r="F164" s="12" t="str">
        <x:v>R4～R6</x:v>
      </x:c>
      <x:c r="G164" s="12" t="str">
        <x:v>64200</x:v>
      </x:c>
      <x:c r="H164" s="12" t="str">
        <x:v>なし</x:v>
      </x:c>
      <x:c r="I164" s="12" t="str">
        <x:v>3</x:v>
      </x:c>
      <x:c r="J164" s="12" t="str">
        <x:v>https://www.pref.nagano.lg.jp/ringyo/documents/2022_01keikaku.pdf</x:v>
      </x:c>
      <x:c r="K164" s="12" t="str">
        <x:v>2026-07-10</x:v>
      </x:c>
    </x:row>
    <x:row r="165">
      <x:c r="A165" s="12" t="str">
        <x:v>横河山線</x:v>
      </x:c>
      <x:c r="B165" s="12" t="str">
        <x:v>岡谷市</x:v>
      </x:c>
      <x:c r="C165" s="12" t="str">
        <x:v>R2-R6第2回変更</x:v>
      </x:c>
      <x:c r="D165" s="12" t="str">
        <x:v>林道改良事業</x:v>
      </x:c>
      <x:c r="E165" s="12" t="str">
        <x:v>林道改良事業（改良）</x:v>
      </x:c>
      <x:c r="F165" s="12" t="str">
        <x:v>R2</x:v>
      </x:c>
      <x:c r="G165" s="12" t="str">
        <x:v>105100</x:v>
      </x:c>
      <x:c r="H165" s="12" t="str">
        <x:v>なし</x:v>
      </x:c>
      <x:c r="I165" s="12" t="str">
        <x:v>3</x:v>
      </x:c>
      <x:c r="J165" s="12" t="str">
        <x:v>https://www.pref.nagano.lg.jp/ringyo/documents/2022_01keikaku.pdf</x:v>
      </x:c>
      <x:c r="K165" s="12" t="str">
        <x:v>2026-07-10</x:v>
      </x:c>
    </x:row>
    <x:row r="166">
      <x:c r="A166" s="12" t="str">
        <x:v>砥沢線</x:v>
      </x:c>
      <x:c r="B166" s="12" t="str">
        <x:v>下諏訪町</x:v>
      </x:c>
      <x:c r="C166" s="12" t="str">
        <x:v>R2-R6第2回変更</x:v>
      </x:c>
      <x:c r="D166" s="12" t="str">
        <x:v>林道改良事業</x:v>
      </x:c>
      <x:c r="E166" s="12" t="str">
        <x:v>林道改良事業（改良）</x:v>
      </x:c>
      <x:c r="F166" s="12" t="str">
        <x:v>R2</x:v>
      </x:c>
      <x:c r="G166" s="12" t="str">
        <x:v>23600</x:v>
      </x:c>
      <x:c r="H166" s="12" t="str">
        <x:v>なし</x:v>
      </x:c>
      <x:c r="I166" s="12" t="str">
        <x:v>3</x:v>
      </x:c>
      <x:c r="J166" s="12" t="str">
        <x:v>https://www.pref.nagano.lg.jp/ringyo/documents/2022_01keikaku.pdf</x:v>
      </x:c>
      <x:c r="K166" s="12" t="str">
        <x:v>2026-07-10</x:v>
      </x:c>
    </x:row>
    <x:row r="167">
      <x:c r="A167" s="12" t="str">
        <x:v>南アルプス線</x:v>
      </x:c>
      <x:c r="B167" s="12" t="str">
        <x:v>伊那市</x:v>
      </x:c>
      <x:c r="C167" s="12" t="str">
        <x:v>R2-R6第2回変更</x:v>
      </x:c>
      <x:c r="D167" s="12" t="str">
        <x:v>林道改良事業</x:v>
      </x:c>
      <x:c r="E167" s="12" t="str">
        <x:v>林道改良事業（改良）</x:v>
      </x:c>
      <x:c r="F167" s="12" t="str">
        <x:v>R2～R6</x:v>
      </x:c>
      <x:c r="G167" s="12" t="str">
        <x:v>120000</x:v>
      </x:c>
      <x:c r="H167" s="12" t="str">
        <x:v>なし</x:v>
      </x:c>
      <x:c r="I167" s="12" t="str">
        <x:v>3</x:v>
      </x:c>
      <x:c r="J167" s="12" t="str">
        <x:v>https://www.pref.nagano.lg.jp/ringyo/documents/2022_01keikaku.pdf</x:v>
      </x:c>
      <x:c r="K167" s="12" t="str">
        <x:v>2026-07-10</x:v>
      </x:c>
    </x:row>
    <x:row r="168">
      <x:c r="A168" s="12" t="str">
        <x:v>日影入線</x:v>
      </x:c>
      <x:c r="B168" s="12" t="str">
        <x:v>箕輪町</x:v>
      </x:c>
      <x:c r="C168" s="12" t="str">
        <x:v>R2-R6第2回変更</x:v>
      </x:c>
      <x:c r="D168" s="12" t="str">
        <x:v>林道改良事業</x:v>
      </x:c>
      <x:c r="E168" s="12" t="str">
        <x:v>林道改良事業（改良）</x:v>
      </x:c>
      <x:c r="F168" s="12" t="str">
        <x:v>R2～R6</x:v>
      </x:c>
      <x:c r="G168" s="12" t="str">
        <x:v>50500</x:v>
      </x:c>
      <x:c r="H168" s="12" t="str">
        <x:v>なし</x:v>
      </x:c>
      <x:c r="I168" s="12" t="str">
        <x:v>3</x:v>
      </x:c>
      <x:c r="J168" s="12" t="str">
        <x:v>https://www.pref.nagano.lg.jp/ringyo/documents/2022_01keikaku.pdf</x:v>
      </x:c>
      <x:c r="K168" s="12" t="str">
        <x:v>2026-07-10</x:v>
      </x:c>
    </x:row>
    <x:row r="169">
      <x:c r="A169" s="12" t="str">
        <x:v>千代田湖枯木線</x:v>
      </x:c>
      <x:c r="B169" s="12" t="str">
        <x:v>伊那市</x:v>
      </x:c>
      <x:c r="C169" s="12" t="str">
        <x:v>R2-R6第2回変更</x:v>
      </x:c>
      <x:c r="D169" s="12" t="str">
        <x:v>林道改良事業</x:v>
      </x:c>
      <x:c r="E169" s="12" t="str">
        <x:v>林道改良事業（改良）</x:v>
      </x:c>
      <x:c r="F169" s="12" t="str">
        <x:v>R2～R5</x:v>
      </x:c>
      <x:c r="G169" s="12" t="str">
        <x:v>42900</x:v>
      </x:c>
      <x:c r="H169" s="12" t="str">
        <x:v>なし</x:v>
      </x:c>
      <x:c r="I169" s="12" t="str">
        <x:v>3</x:v>
      </x:c>
      <x:c r="J169" s="12" t="str">
        <x:v>https://www.pref.nagano.lg.jp/ringyo/documents/2022_01keikaku.pdf</x:v>
      </x:c>
      <x:c r="K169" s="12" t="str">
        <x:v>2026-07-10</x:v>
      </x:c>
    </x:row>
    <x:row r="170">
      <x:c r="A170" s="12" t="str">
        <x:v>古城線</x:v>
      </x:c>
      <x:c r="B170" s="12" t="str">
        <x:v>駒ヶ根市</x:v>
      </x:c>
      <x:c r="C170" s="12" t="str">
        <x:v>R2-R6第2回変更</x:v>
      </x:c>
      <x:c r="D170" s="12" t="str">
        <x:v>林道改良事業</x:v>
      </x:c>
      <x:c r="E170" s="12" t="str">
        <x:v>林道改良事業（改良）</x:v>
      </x:c>
      <x:c r="F170" s="12" t="str">
        <x:v>R5～R6</x:v>
      </x:c>
      <x:c r="G170" s="12" t="str">
        <x:v>19300</x:v>
      </x:c>
      <x:c r="H170" s="12" t="str">
        <x:v>なし</x:v>
      </x:c>
      <x:c r="I170" s="12" t="str">
        <x:v>3</x:v>
      </x:c>
      <x:c r="J170" s="12" t="str">
        <x:v>https://www.pref.nagano.lg.jp/ringyo/documents/2022_01keikaku.pdf</x:v>
      </x:c>
      <x:c r="K170" s="12" t="str">
        <x:v>2026-07-10</x:v>
      </x:c>
    </x:row>
    <x:row r="171">
      <x:c r="A171" s="12" t="str">
        <x:v>宮ノ沢線</x:v>
      </x:c>
      <x:c r="B171" s="12" t="str">
        <x:v>飯島町</x:v>
      </x:c>
      <x:c r="C171" s="12" t="str">
        <x:v>R2-R6第2回変更</x:v>
      </x:c>
      <x:c r="D171" s="12" t="str">
        <x:v>林道改良事業</x:v>
      </x:c>
      <x:c r="E171" s="12" t="str">
        <x:v>林道改良事業（改良）</x:v>
      </x:c>
      <x:c r="F171" s="12" t="str">
        <x:v>R6</x:v>
      </x:c>
      <x:c r="G171" s="12" t="str">
        <x:v>39900</x:v>
      </x:c>
      <x:c r="H171" s="12" t="str">
        <x:v>なし</x:v>
      </x:c>
      <x:c r="I171" s="12" t="str">
        <x:v>3</x:v>
      </x:c>
      <x:c r="J171" s="12" t="str">
        <x:v>https://www.pref.nagano.lg.jp/ringyo/documents/2022_01keikaku.pdf</x:v>
      </x:c>
      <x:c r="K171" s="12" t="str">
        <x:v>2026-07-10</x:v>
      </x:c>
    </x:row>
    <x:row r="172">
      <x:c r="A172" s="12" t="str">
        <x:v>辰巳ヶ沢入線</x:v>
      </x:c>
      <x:c r="B172" s="12" t="str">
        <x:v>飯島町</x:v>
      </x:c>
      <x:c r="C172" s="12" t="str">
        <x:v>R2-R6第2回変更</x:v>
      </x:c>
      <x:c r="D172" s="12" t="str">
        <x:v>林道改良事業</x:v>
      </x:c>
      <x:c r="E172" s="12" t="str">
        <x:v>林道改良事業（舗装）</x:v>
      </x:c>
      <x:c r="F172" s="12" t="str"/>
      <x:c r="G172" s="12" t="str">
        <x:v>0</x:v>
      </x:c>
      <x:c r="H172" s="12" t="str">
        <x:v>なし</x:v>
      </x:c>
      <x:c r="I172" s="12" t="str">
        <x:v>3</x:v>
      </x:c>
      <x:c r="J172" s="12" t="str">
        <x:v>https://www.pref.nagano.lg.jp/ringyo/documents/2022_01keikaku.pdf</x:v>
      </x:c>
      <x:c r="K172" s="12" t="str">
        <x:v>2026-07-10</x:v>
      </x:c>
    </x:row>
    <x:row r="173">
      <x:c r="A173" s="12" t="str">
        <x:v>不動滝線</x:v>
      </x:c>
      <x:c r="B173" s="12" t="str">
        <x:v>高森町</x:v>
      </x:c>
      <x:c r="C173" s="12" t="str">
        <x:v>R2-R6第2回変更</x:v>
      </x:c>
      <x:c r="D173" s="12" t="str">
        <x:v>林道改良事業</x:v>
      </x:c>
      <x:c r="E173" s="12" t="str">
        <x:v>林道改良事業（改良）</x:v>
      </x:c>
      <x:c r="F173" s="12" t="str">
        <x:v>R2～R3</x:v>
      </x:c>
      <x:c r="G173" s="12" t="str">
        <x:v>43100</x:v>
      </x:c>
      <x:c r="H173" s="12" t="str">
        <x:v>なし</x:v>
      </x:c>
      <x:c r="I173" s="12" t="str">
        <x:v>3</x:v>
      </x:c>
      <x:c r="J173" s="12" t="str">
        <x:v>https://www.pref.nagano.lg.jp/ringyo/documents/2022_01keikaku.pdf</x:v>
      </x:c>
      <x:c r="K173" s="12" t="str">
        <x:v>2026-07-10</x:v>
      </x:c>
    </x:row>
    <x:row r="174">
      <x:c r="A174" s="12" t="str">
        <x:v>二又沢線</x:v>
      </x:c>
      <x:c r="B174" s="12" t="str">
        <x:v>高森町</x:v>
      </x:c>
      <x:c r="C174" s="12" t="str">
        <x:v>R2-R6第2回変更</x:v>
      </x:c>
      <x:c r="D174" s="12" t="str">
        <x:v>林道改良事業</x:v>
      </x:c>
      <x:c r="E174" s="12" t="str">
        <x:v>林道改良事業（改良）</x:v>
      </x:c>
      <x:c r="F174" s="12" t="str"/>
      <x:c r="G174" s="12" t="str">
        <x:v>0</x:v>
      </x:c>
      <x:c r="H174" s="12" t="str">
        <x:v>なし</x:v>
      </x:c>
      <x:c r="I174" s="12" t="str">
        <x:v>3</x:v>
      </x:c>
      <x:c r="J174" s="12" t="str">
        <x:v>https://www.pref.nagano.lg.jp/ringyo/documents/2022_01keikaku.pdf</x:v>
      </x:c>
      <x:c r="K174" s="12" t="str">
        <x:v>2026-07-10</x:v>
      </x:c>
    </x:row>
    <x:row r="175">
      <x:c r="A175" s="12" t="str">
        <x:v>売木うつぼ線</x:v>
      </x:c>
      <x:c r="B175" s="12" t="str">
        <x:v>阿南町</x:v>
      </x:c>
      <x:c r="C175" s="12" t="str">
        <x:v>R2-R6第2回変更</x:v>
      </x:c>
      <x:c r="D175" s="12" t="str">
        <x:v>林道改良事業</x:v>
      </x:c>
      <x:c r="E175" s="12" t="str">
        <x:v>林道改良事業（改良）</x:v>
      </x:c>
      <x:c r="F175" s="12" t="str"/>
      <x:c r="G175" s="12" t="str">
        <x:v>0</x:v>
      </x:c>
      <x:c r="H175" s="12" t="str">
        <x:v>なし</x:v>
      </x:c>
      <x:c r="I175" s="12" t="str">
        <x:v>3</x:v>
      </x:c>
      <x:c r="J175" s="12" t="str">
        <x:v>https://www.pref.nagano.lg.jp/ringyo/documents/2022_01keikaku.pdf</x:v>
      </x:c>
      <x:c r="K175" s="12" t="str">
        <x:v>2026-07-10</x:v>
      </x:c>
    </x:row>
    <x:row r="176">
      <x:c r="A176" s="12" t="str">
        <x:v>大久那線</x:v>
      </x:c>
      <x:c r="B176" s="12" t="str">
        <x:v>阿南町</x:v>
      </x:c>
      <x:c r="C176" s="12" t="str">
        <x:v>R2-R6第2回変更</x:v>
      </x:c>
      <x:c r="D176" s="12" t="str">
        <x:v>林道改良事業</x:v>
      </x:c>
      <x:c r="E176" s="12" t="str">
        <x:v>林道改良事業（改良）</x:v>
      </x:c>
      <x:c r="F176" s="12" t="str"/>
      <x:c r="G176" s="12" t="str">
        <x:v>0</x:v>
      </x:c>
      <x:c r="H176" s="12" t="str">
        <x:v>なし</x:v>
      </x:c>
      <x:c r="I176" s="12" t="str">
        <x:v>3</x:v>
      </x:c>
      <x:c r="J176" s="12" t="str">
        <x:v>https://www.pref.nagano.lg.jp/ringyo/documents/2022_01keikaku.pdf</x:v>
      </x:c>
      <x:c r="K176" s="12" t="str">
        <x:v>2026-07-10</x:v>
      </x:c>
    </x:row>
    <x:row r="177">
      <x:c r="A177" s="12" t="str">
        <x:v>門原線</x:v>
      </x:c>
      <x:c r="B177" s="12" t="str">
        <x:v>阿南町</x:v>
      </x:c>
      <x:c r="C177" s="12" t="str">
        <x:v>R2-R6第2回変更</x:v>
      </x:c>
      <x:c r="D177" s="12" t="str">
        <x:v>林道改良事業</x:v>
      </x:c>
      <x:c r="E177" s="12" t="str">
        <x:v>林道改良事業（改良）</x:v>
      </x:c>
      <x:c r="F177" s="12" t="str"/>
      <x:c r="G177" s="12" t="str">
        <x:v>0</x:v>
      </x:c>
      <x:c r="H177" s="12" t="str">
        <x:v>なし</x:v>
      </x:c>
      <x:c r="I177" s="12" t="str">
        <x:v>3</x:v>
      </x:c>
      <x:c r="J177" s="12" t="str">
        <x:v>https://www.pref.nagano.lg.jp/ringyo/documents/2022_01keikaku.pdf</x:v>
      </x:c>
      <x:c r="K177" s="12" t="str">
        <x:v>2026-07-10</x:v>
      </x:c>
    </x:row>
    <x:row r="178">
      <x:c r="A178" s="12" t="str">
        <x:v>本洞線</x:v>
      </x:c>
      <x:c r="B178" s="12" t="str">
        <x:v>根羽村</x:v>
      </x:c>
      <x:c r="C178" s="12" t="str">
        <x:v>R2-R6第2回変更</x:v>
      </x:c>
      <x:c r="D178" s="12" t="str">
        <x:v>林道改良事業</x:v>
      </x:c>
      <x:c r="E178" s="12" t="str">
        <x:v>林道改良事業（改良）</x:v>
      </x:c>
      <x:c r="F178" s="12" t="str">
        <x:v>R2</x:v>
      </x:c>
      <x:c r="G178" s="12" t="str">
        <x:v>23600</x:v>
      </x:c>
      <x:c r="H178" s="12" t="str">
        <x:v>なし</x:v>
      </x:c>
      <x:c r="I178" s="12" t="str">
        <x:v>3</x:v>
      </x:c>
      <x:c r="J178" s="12" t="str">
        <x:v>https://www.pref.nagano.lg.jp/ringyo/documents/2022_01keikaku.pdf</x:v>
      </x:c>
      <x:c r="K178" s="12" t="str">
        <x:v>2026-07-10</x:v>
      </x:c>
    </x:row>
    <x:row r="179">
      <x:c r="A179" s="12" t="str">
        <x:v>本洞線</x:v>
      </x:c>
      <x:c r="B179" s="12" t="str">
        <x:v>根羽村</x:v>
      </x:c>
      <x:c r="C179" s="12" t="str">
        <x:v>R2-R6第2回変更</x:v>
      </x:c>
      <x:c r="D179" s="12" t="str">
        <x:v>林道改良事業</x:v>
      </x:c>
      <x:c r="E179" s="12" t="str">
        <x:v>林道改良事業（舗装）</x:v>
      </x:c>
      <x:c r="F179" s="12" t="str"/>
      <x:c r="G179" s="12" t="str">
        <x:v>0</x:v>
      </x:c>
      <x:c r="H179" s="12" t="str">
        <x:v>なし</x:v>
      </x:c>
      <x:c r="I179" s="12" t="str">
        <x:v>3</x:v>
      </x:c>
      <x:c r="J179" s="12" t="str">
        <x:v>https://www.pref.nagano.lg.jp/ringyo/documents/2022_01keikaku.pdf</x:v>
      </x:c>
      <x:c r="K179" s="12" t="str">
        <x:v>2026-07-10</x:v>
      </x:c>
    </x:row>
    <x:row r="180">
      <x:c r="A180" s="12" t="str">
        <x:v>虫川新野峠線</x:v>
      </x:c>
      <x:c r="B180" s="12" t="str">
        <x:v>天龍村</x:v>
      </x:c>
      <x:c r="C180" s="12" t="str">
        <x:v>R2-R6第2回変更</x:v>
      </x:c>
      <x:c r="D180" s="12" t="str">
        <x:v>林道改良事業</x:v>
      </x:c>
      <x:c r="E180" s="12" t="str">
        <x:v>林道改良事業（舗装）</x:v>
      </x:c>
      <x:c r="F180" s="12" t="str">
        <x:v>R2</x:v>
      </x:c>
      <x:c r="G180" s="12" t="str">
        <x:v>29800</x:v>
      </x:c>
      <x:c r="H180" s="12" t="str">
        <x:v>なし</x:v>
      </x:c>
      <x:c r="I180" s="12" t="str">
        <x:v>3</x:v>
      </x:c>
      <x:c r="J180" s="12" t="str">
        <x:v>https://www.pref.nagano.lg.jp/ringyo/documents/2022_01keikaku.pdf</x:v>
      </x:c>
      <x:c r="K180" s="12" t="str">
        <x:v>2026-07-10</x:v>
      </x:c>
    </x:row>
    <x:row r="181">
      <x:c r="A181" s="12" t="str">
        <x:v>大恵曽線</x:v>
      </x:c>
      <x:c r="B181" s="12" t="str">
        <x:v>泰阜村</x:v>
      </x:c>
      <x:c r="C181" s="12" t="str">
        <x:v>R2-R6第2回変更</x:v>
      </x:c>
      <x:c r="D181" s="12" t="str">
        <x:v>林道改良事業</x:v>
      </x:c>
      <x:c r="E181" s="12" t="str">
        <x:v>林道改良事業（改良）</x:v>
      </x:c>
      <x:c r="F181" s="12" t="str"/>
      <x:c r="G181" s="12" t="str">
        <x:v>0</x:v>
      </x:c>
      <x:c r="H181" s="12" t="str">
        <x:v>なし</x:v>
      </x:c>
      <x:c r="I181" s="12" t="str">
        <x:v>3</x:v>
      </x:c>
      <x:c r="J181" s="12" t="str">
        <x:v>https://www.pref.nagano.lg.jp/ringyo/documents/2022_01keikaku.pdf</x:v>
      </x:c>
      <x:c r="K181" s="12" t="str">
        <x:v>2026-07-10</x:v>
      </x:c>
    </x:row>
    <x:row r="182">
      <x:c r="A182" s="12" t="str">
        <x:v>川端線</x:v>
      </x:c>
      <x:c r="B182" s="12" t="str">
        <x:v>泰阜村</x:v>
      </x:c>
      <x:c r="C182" s="12" t="str">
        <x:v>R2-R6第2回変更</x:v>
      </x:c>
      <x:c r="D182" s="12" t="str">
        <x:v>林道改良事業</x:v>
      </x:c>
      <x:c r="E182" s="12" t="str">
        <x:v>林道改良事業（改良）</x:v>
      </x:c>
      <x:c r="F182" s="12" t="str">
        <x:v>R5～R6</x:v>
      </x:c>
      <x:c r="G182" s="12" t="str">
        <x:v>30300</x:v>
      </x:c>
      <x:c r="H182" s="12" t="str">
        <x:v>なし</x:v>
      </x:c>
      <x:c r="I182" s="12" t="str">
        <x:v>3</x:v>
      </x:c>
      <x:c r="J182" s="12" t="str">
        <x:v>https://www.pref.nagano.lg.jp/ringyo/documents/2022_01keikaku.pdf</x:v>
      </x:c>
      <x:c r="K182" s="12" t="str">
        <x:v>2026-07-10</x:v>
      </x:c>
    </x:row>
    <x:row r="183">
      <x:c r="A183" s="12" t="str">
        <x:v>赤石線</x:v>
      </x:c>
      <x:c r="B183" s="12" t="str">
        <x:v>飯田市</x:v>
      </x:c>
      <x:c r="C183" s="12" t="str">
        <x:v>R2-R6第2回変更</x:v>
      </x:c>
      <x:c r="D183" s="12" t="str">
        <x:v>林道改良事業</x:v>
      </x:c>
      <x:c r="E183" s="12" t="str">
        <x:v>林道改良事業（改良）</x:v>
      </x:c>
      <x:c r="F183" s="12" t="str">
        <x:v>R4</x:v>
      </x:c>
      <x:c r="G183" s="12" t="str">
        <x:v>11700</x:v>
      </x:c>
      <x:c r="H183" s="12" t="str">
        <x:v>なし</x:v>
      </x:c>
      <x:c r="I183" s="12" t="str">
        <x:v>3</x:v>
      </x:c>
      <x:c r="J183" s="12" t="str">
        <x:v>https://www.pref.nagano.lg.jp/ringyo/documents/2022_01keikaku.pdf</x:v>
      </x:c>
      <x:c r="K183" s="12" t="str">
        <x:v>2026-07-10</x:v>
      </x:c>
    </x:row>
    <x:row r="184">
      <x:c r="A184" s="12" t="str">
        <x:v>御池山線</x:v>
      </x:c>
      <x:c r="B184" s="12" t="str">
        <x:v>飯田井</x:v>
      </x:c>
      <x:c r="C184" s="12" t="str">
        <x:v>R2-R6第2回変更</x:v>
      </x:c>
      <x:c r="D184" s="12" t="str">
        <x:v>林道改良事業</x:v>
      </x:c>
      <x:c r="E184" s="12" t="str">
        <x:v>林道改良事業（改良）</x:v>
      </x:c>
      <x:c r="F184" s="12" t="str">
        <x:v>R4</x:v>
      </x:c>
      <x:c r="G184" s="12" t="str">
        <x:v>11700</x:v>
      </x:c>
      <x:c r="H184" s="12" t="str">
        <x:v>なし</x:v>
      </x:c>
      <x:c r="I184" s="12" t="str">
        <x:v>3</x:v>
      </x:c>
      <x:c r="J184" s="12" t="str">
        <x:v>https://www.pref.nagano.lg.jp/ringyo/documents/2022_01keikaku.pdf</x:v>
      </x:c>
      <x:c r="K184" s="12" t="str">
        <x:v>2026-07-10</x:v>
      </x:c>
    </x:row>
    <x:row r="185">
      <x:c r="A185" s="12" t="str">
        <x:v>弓の又線</x:v>
      </x:c>
      <x:c r="B185" s="12" t="str">
        <x:v>阿智村</x:v>
      </x:c>
      <x:c r="C185" s="12" t="str">
        <x:v>R2-R6第2回変更</x:v>
      </x:c>
      <x:c r="D185" s="12" t="str">
        <x:v>林道改良事業</x:v>
      </x:c>
      <x:c r="E185" s="12" t="str">
        <x:v>林道改良事業（改良）</x:v>
      </x:c>
      <x:c r="F185" s="12" t="str">
        <x:v>R4</x:v>
      </x:c>
      <x:c r="G185" s="12" t="str">
        <x:v>35100</x:v>
      </x:c>
      <x:c r="H185" s="12" t="str">
        <x:v>なし</x:v>
      </x:c>
      <x:c r="I185" s="12" t="str">
        <x:v>3</x:v>
      </x:c>
      <x:c r="J185" s="12" t="str">
        <x:v>https://www.pref.nagano.lg.jp/ringyo/documents/2022_01keikaku.pdf</x:v>
      </x:c>
      <x:c r="K185" s="12" t="str">
        <x:v>2026-07-10</x:v>
      </x:c>
    </x:row>
    <x:row r="186">
      <x:c r="A186" s="12" t="str">
        <x:v>野尻与川線</x:v>
      </x:c>
      <x:c r="B186" s="12" t="str">
        <x:v>大桑村</x:v>
      </x:c>
      <x:c r="C186" s="12" t="str">
        <x:v>R2-R6第2回変更</x:v>
      </x:c>
      <x:c r="D186" s="12" t="str">
        <x:v>林道改良事業</x:v>
      </x:c>
      <x:c r="E186" s="12" t="str">
        <x:v>林道改良事業（改良）</x:v>
      </x:c>
      <x:c r="F186" s="12" t="str">
        <x:v>R3～R4</x:v>
      </x:c>
      <x:c r="G186" s="12" t="str">
        <x:v>143500</x:v>
      </x:c>
      <x:c r="H186" s="12" t="str">
        <x:v>なし</x:v>
      </x:c>
      <x:c r="I186" s="12" t="str">
        <x:v>3</x:v>
      </x:c>
      <x:c r="J186" s="12" t="str">
        <x:v>https://www.pref.nagano.lg.jp/ringyo/documents/2022_01keikaku.pdf</x:v>
      </x:c>
      <x:c r="K186" s="12" t="str">
        <x:v>2026-07-10</x:v>
      </x:c>
    </x:row>
    <x:row r="187">
      <x:c r="A187" s="12" t="str">
        <x:v>美ヶ原線</x:v>
      </x:c>
      <x:c r="B187" s="12" t="str">
        <x:v>松本市</x:v>
      </x:c>
      <x:c r="C187" s="12" t="str">
        <x:v>R2-R6第2回変更</x:v>
      </x:c>
      <x:c r="D187" s="12" t="str">
        <x:v>林道改良事業</x:v>
      </x:c>
      <x:c r="E187" s="12" t="str">
        <x:v>林道改良事業（改良）</x:v>
      </x:c>
      <x:c r="F187" s="12" t="str">
        <x:v>R2～R6</x:v>
      </x:c>
      <x:c r="G187" s="12" t="str">
        <x:v>159400</x:v>
      </x:c>
      <x:c r="H187" s="12" t="str">
        <x:v>なし</x:v>
      </x:c>
      <x:c r="I187" s="12" t="str">
        <x:v>3</x:v>
      </x:c>
      <x:c r="J187" s="12" t="str">
        <x:v>https://www.pref.nagano.lg.jp/ringyo/documents/2022_01keikaku.pdf</x:v>
      </x:c>
      <x:c r="K187" s="12" t="str">
        <x:v>2026-07-10</x:v>
      </x:c>
    </x:row>
    <x:row r="188">
      <x:c r="A188" s="12" t="str">
        <x:v>宮ノ入線</x:v>
      </x:c>
      <x:c r="B188" s="12" t="str">
        <x:v>松本市</x:v>
      </x:c>
      <x:c r="C188" s="12" t="str">
        <x:v>R2-R6第2回変更</x:v>
      </x:c>
      <x:c r="D188" s="12" t="str">
        <x:v>林道改良事業</x:v>
      </x:c>
      <x:c r="E188" s="12" t="str">
        <x:v>林道改良事業（改良）</x:v>
      </x:c>
      <x:c r="F188" s="12" t="str">
        <x:v>R2～R6</x:v>
      </x:c>
      <x:c r="G188" s="12" t="str">
        <x:v>107600</x:v>
      </x:c>
      <x:c r="H188" s="12" t="str">
        <x:v>なし</x:v>
      </x:c>
      <x:c r="I188" s="12" t="str">
        <x:v>3</x:v>
      </x:c>
      <x:c r="J188" s="12" t="str">
        <x:v>https://www.pref.nagano.lg.jp/ringyo/documents/2022_01keikaku.pdf</x:v>
      </x:c>
      <x:c r="K188" s="12" t="str">
        <x:v>2026-07-10</x:v>
      </x:c>
    </x:row>
    <x:row r="189">
      <x:c r="A189" s="12" t="str">
        <x:v>奈川安曇線</x:v>
      </x:c>
      <x:c r="B189" s="12" t="str">
        <x:v>松本市</x:v>
      </x:c>
      <x:c r="C189" s="12" t="str">
        <x:v>R2-R6第2回変更</x:v>
      </x:c>
      <x:c r="D189" s="12" t="str">
        <x:v>林道改良事業</x:v>
      </x:c>
      <x:c r="E189" s="12" t="str">
        <x:v>林道改良事業（改良）</x:v>
      </x:c>
      <x:c r="F189" s="12" t="str">
        <x:v>R2～R6</x:v>
      </x:c>
      <x:c r="G189" s="12" t="str">
        <x:v>241300</x:v>
      </x:c>
      <x:c r="H189" s="12" t="str">
        <x:v>なし</x:v>
      </x:c>
      <x:c r="I189" s="12" t="str">
        <x:v>3</x:v>
      </x:c>
      <x:c r="J189" s="12" t="str">
        <x:v>https://www.pref.nagano.lg.jp/ringyo/documents/2022_01keikaku.pdf</x:v>
      </x:c>
      <x:c r="K189" s="12" t="str">
        <x:v>2026-07-10</x:v>
      </x:c>
    </x:row>
    <x:row r="190">
      <x:c r="A190" s="12" t="str">
        <x:v>片丘線</x:v>
      </x:c>
      <x:c r="B190" s="12" t="str">
        <x:v>塩尻市</x:v>
      </x:c>
      <x:c r="C190" s="12" t="str">
        <x:v>R2-R6第2回変更</x:v>
      </x:c>
      <x:c r="D190" s="12" t="str">
        <x:v>林道改良事業</x:v>
      </x:c>
      <x:c r="E190" s="12" t="str">
        <x:v>林道改良事業（改良）</x:v>
      </x:c>
      <x:c r="F190" s="12" t="str"/>
      <x:c r="G190" s="12" t="str">
        <x:v>0</x:v>
      </x:c>
      <x:c r="H190" s="12" t="str">
        <x:v>なし</x:v>
      </x:c>
      <x:c r="I190" s="12" t="str">
        <x:v>3</x:v>
      </x:c>
      <x:c r="J190" s="12" t="str">
        <x:v>https://www.pref.nagano.lg.jp/ringyo/documents/2022_01keikaku.pdf</x:v>
      </x:c>
      <x:c r="K190" s="12" t="str">
        <x:v>2026-07-10</x:v>
      </x:c>
    </x:row>
    <x:row r="191">
      <x:c r="A191" s="12" t="str">
        <x:v>烏川線</x:v>
      </x:c>
      <x:c r="B191" s="12" t="str">
        <x:v>安曇野市</x:v>
      </x:c>
      <x:c r="C191" s="12" t="str">
        <x:v>R2-R6第2回変更</x:v>
      </x:c>
      <x:c r="D191" s="12" t="str">
        <x:v>林道改良事業</x:v>
      </x:c>
      <x:c r="E191" s="12" t="str">
        <x:v>林道改良事業（改良）</x:v>
      </x:c>
      <x:c r="F191" s="12" t="str">
        <x:v>R2～R5</x:v>
      </x:c>
      <x:c r="G191" s="12" t="str">
        <x:v>71300</x:v>
      </x:c>
      <x:c r="H191" s="12" t="str">
        <x:v>なし</x:v>
      </x:c>
      <x:c r="I191" s="12" t="str">
        <x:v>3</x:v>
      </x:c>
      <x:c r="J191" s="12" t="str">
        <x:v>https://www.pref.nagano.lg.jp/ringyo/documents/2022_01keikaku.pdf</x:v>
      </x:c>
      <x:c r="K191" s="12" t="str">
        <x:v>2026-07-10</x:v>
      </x:c>
    </x:row>
    <x:row r="192">
      <x:c r="A192" s="12" t="str">
        <x:v>氷室線</x:v>
      </x:c>
      <x:c r="B192" s="12" t="str">
        <x:v>筑北村</x:v>
      </x:c>
      <x:c r="C192" s="12" t="str">
        <x:v>R2-R6第2回変更</x:v>
      </x:c>
      <x:c r="D192" s="12" t="str">
        <x:v>林道改良事業</x:v>
      </x:c>
      <x:c r="E192" s="12" t="str">
        <x:v>林道改良事業（改良）</x:v>
      </x:c>
      <x:c r="F192" s="12" t="str">
        <x:v>R2</x:v>
      </x:c>
      <x:c r="G192" s="12" t="str">
        <x:v>15525</x:v>
      </x:c>
      <x:c r="H192" s="12" t="str">
        <x:v>なし</x:v>
      </x:c>
      <x:c r="I192" s="12" t="str">
        <x:v>3</x:v>
      </x:c>
      <x:c r="J192" s="12" t="str">
        <x:v>https://www.pref.nagano.lg.jp/ringyo/documents/2022_01keikaku.pdf</x:v>
      </x:c>
      <x:c r="K192" s="12" t="str">
        <x:v>2026-07-10</x:v>
      </x:c>
    </x:row>
    <x:row r="193">
      <x:c r="A193" s="12" t="str">
        <x:v>大川線</x:v>
      </x:c>
      <x:c r="B193" s="12" t="str">
        <x:v>長野市</x:v>
      </x:c>
      <x:c r="C193" s="12" t="str">
        <x:v>R2-R6第2回変更</x:v>
      </x:c>
      <x:c r="D193" s="12" t="str">
        <x:v>林道改良事業</x:v>
      </x:c>
      <x:c r="E193" s="12" t="str">
        <x:v>林道改良事業（改良）</x:v>
      </x:c>
      <x:c r="F193" s="12" t="str">
        <x:v>R3～R6</x:v>
      </x:c>
      <x:c r="G193" s="12" t="str">
        <x:v>108000</x:v>
      </x:c>
      <x:c r="H193" s="12" t="str">
        <x:v>なし</x:v>
      </x:c>
      <x:c r="I193" s="12" t="str">
        <x:v>3</x:v>
      </x:c>
      <x:c r="J193" s="12" t="str">
        <x:v>https://www.pref.nagano.lg.jp/ringyo/documents/2022_01keikaku.pdf</x:v>
      </x:c>
      <x:c r="K193" s="12" t="str">
        <x:v>2026-07-10</x:v>
      </x:c>
    </x:row>
    <x:row r="194">
      <x:c r="A194" s="12" t="str">
        <x:v>米子不動線</x:v>
      </x:c>
      <x:c r="B194" s="12" t="str">
        <x:v>須坂市</x:v>
      </x:c>
      <x:c r="C194" s="12" t="str">
        <x:v>R2-R6第2回変更</x:v>
      </x:c>
      <x:c r="D194" s="12" t="str">
        <x:v>林道改良事業</x:v>
      </x:c>
      <x:c r="E194" s="12" t="str">
        <x:v>林道改良事業（改良）</x:v>
      </x:c>
      <x:c r="F194" s="12" t="str">
        <x:v>R4</x:v>
      </x:c>
      <x:c r="G194" s="12" t="str">
        <x:v>61200</x:v>
      </x:c>
      <x:c r="H194" s="12" t="str">
        <x:v>なし</x:v>
      </x:c>
      <x:c r="I194" s="12" t="str">
        <x:v>3</x:v>
      </x:c>
      <x:c r="J194" s="12" t="str">
        <x:v>https://www.pref.nagano.lg.jp/ringyo/documents/2022_01keikaku.pdf</x:v>
      </x:c>
      <x:c r="K194" s="12" t="str">
        <x:v>2026-07-10</x:v>
      </x:c>
    </x:row>
    <x:row r="195">
      <x:c r="A195" s="12" t="str">
        <x:v>矢崎線</x:v>
      </x:c>
      <x:c r="B195" s="12" t="str">
        <x:v>中野市</x:v>
      </x:c>
      <x:c r="C195" s="12" t="str">
        <x:v>R2-R6第2回変更</x:v>
      </x:c>
      <x:c r="D195" s="12" t="str">
        <x:v>林道改良事業</x:v>
      </x:c>
      <x:c r="E195" s="12" t="str">
        <x:v>林道改良事業（改良）</x:v>
      </x:c>
      <x:c r="F195" s="12" t="str">
        <x:v>R2</x:v>
      </x:c>
      <x:c r="G195" s="12" t="str">
        <x:v>13400</x:v>
      </x:c>
      <x:c r="H195" s="12" t="str">
        <x:v>なし</x:v>
      </x:c>
      <x:c r="I195" s="12" t="str">
        <x:v>4</x:v>
      </x:c>
      <x:c r="J195" s="12" t="str">
        <x:v>https://www.pref.nagano.lg.jp/ringyo/documents/2022_01keikaku.pdf</x:v>
      </x:c>
      <x:c r="K195" s="12" t="str">
        <x:v>2026-07-10</x:v>
      </x:c>
    </x:row>
    <x:row r="196">
      <x:c r="A196" s="12" t="str">
        <x:v>金倉竜王線</x:v>
      </x:c>
      <x:c r="B196" s="12" t="str">
        <x:v>山ノ内町</x:v>
      </x:c>
      <x:c r="C196" s="12" t="str">
        <x:v>R2-R6第2回変更</x:v>
      </x:c>
      <x:c r="D196" s="12" t="str">
        <x:v>林道改良事業</x:v>
      </x:c>
      <x:c r="E196" s="12" t="str">
        <x:v>林道改良事業（改良）</x:v>
      </x:c>
      <x:c r="F196" s="12" t="str">
        <x:v>R2</x:v>
      </x:c>
      <x:c r="G196" s="12" t="str">
        <x:v>13642</x:v>
      </x:c>
      <x:c r="H196" s="12" t="str">
        <x:v>なし</x:v>
      </x:c>
      <x:c r="I196" s="12" t="str">
        <x:v>4</x:v>
      </x:c>
      <x:c r="J196" s="12" t="str">
        <x:v>https://www.pref.nagano.lg.jp/ringyo/documents/2022_01keikaku.pdf</x:v>
      </x:c>
      <x:c r="K196" s="12" t="str">
        <x:v>2026-07-10</x:v>
      </x:c>
    </x:row>
    <x:row r="197">
      <x:c r="A197" s="12" t="str">
        <x:v>清水平線</x:v>
      </x:c>
      <x:c r="B197" s="12" t="str">
        <x:v>木島平村</x:v>
      </x:c>
      <x:c r="C197" s="12" t="str">
        <x:v>R2-R6第2回変更</x:v>
      </x:c>
      <x:c r="D197" s="12" t="str">
        <x:v>林道改良事業</x:v>
      </x:c>
      <x:c r="E197" s="12" t="str">
        <x:v>林道改良事業（改良）</x:v>
      </x:c>
      <x:c r="F197" s="12" t="str">
        <x:v>R2～R6</x:v>
      </x:c>
      <x:c r="G197" s="12" t="str">
        <x:v>59700</x:v>
      </x:c>
      <x:c r="H197" s="12" t="str">
        <x:v>なし</x:v>
      </x:c>
      <x:c r="I197" s="12" t="str">
        <x:v>4</x:v>
      </x:c>
      <x:c r="J197" s="12" t="str">
        <x:v>https://www.pref.nagano.lg.jp/ringyo/documents/2022_01keikaku.pdf</x:v>
      </x:c>
      <x:c r="K197" s="12" t="str">
        <x:v>2026-07-10</x:v>
      </x:c>
    </x:row>
    <x:row r="198">
      <x:c r="A198" s="12" t="str">
        <x:v>秋山線</x:v>
      </x:c>
      <x:c r="B198" s="12" t="str">
        <x:v>栄村</x:v>
      </x:c>
      <x:c r="C198" s="12" t="str">
        <x:v>R2-R6第2回変更</x:v>
      </x:c>
      <x:c r="D198" s="12" t="str">
        <x:v>林道改良事業</x:v>
      </x:c>
      <x:c r="E198" s="12" t="str">
        <x:v>林道改良事業（改良）</x:v>
      </x:c>
      <x:c r="F198" s="12" t="str">
        <x:v>R2</x:v>
      </x:c>
      <x:c r="G198" s="12" t="str">
        <x:v>32600</x:v>
      </x:c>
      <x:c r="H198" s="12" t="str">
        <x:v>なし</x:v>
      </x:c>
      <x:c r="I198" s="12" t="str">
        <x:v>4</x:v>
      </x:c>
      <x:c r="J198" s="12" t="str">
        <x:v>https://www.pref.nagano.lg.jp/ringyo/documents/2022_01keikaku.pdf</x:v>
      </x:c>
      <x:c r="K198" s="12" t="str">
        <x:v>2026-07-10</x:v>
      </x:c>
    </x:row>
    <x:row r="199">
      <x:c r="A199" s="12" t="str">
        <x:v>妙義荒船線</x:v>
      </x:c>
      <x:c r="B199" s="12" t="str">
        <x:v>佐久市</x:v>
      </x:c>
      <x:c r="C199" s="12" t="str">
        <x:v>R7-R11</x:v>
      </x:c>
      <x:c r="D199" s="12" t="str">
        <x:v>林道改良事業</x:v>
      </x:c>
      <x:c r="E199" s="12" t="str">
        <x:v>林道改良事業（改良L103=ｍ）</x:v>
      </x:c>
      <x:c r="F199" s="12" t="str">
        <x:v>R7～R7</x:v>
      </x:c>
      <x:c r="G199" s="12" t="str">
        <x:v>57000</x:v>
      </x:c>
      <x:c r="H199" s="12" t="str">
        <x:v>なし</x:v>
      </x:c>
      <x:c r="I199" s="12" t="str">
        <x:v>2</x:v>
      </x:c>
      <x:c r="J199" s="12" t="str">
        <x:v>https://www.pref.nagano.lg.jp/ringyo/documents/sinkeikaku2025.pdf</x:v>
      </x:c>
      <x:c r="K199" s="12" t="str">
        <x:v>2026-07-10</x:v>
      </x:c>
    </x:row>
    <x:row r="200">
      <x:c r="A200" s="12" t="str">
        <x:v>九竜平線</x:v>
      </x:c>
      <x:c r="B200" s="12" t="str">
        <x:v>佐久市</x:v>
      </x:c>
      <x:c r="C200" s="12" t="str">
        <x:v>R7-R11</x:v>
      </x:c>
      <x:c r="D200" s="12" t="str">
        <x:v>林道改良事業</x:v>
      </x:c>
      <x:c r="E200" s="12" t="str">
        <x:v>林道改良事業（改良L=50ｍ）</x:v>
      </x:c>
      <x:c r="F200" s="12" t="str">
        <x:v>R7～R8</x:v>
      </x:c>
      <x:c r="G200" s="12" t="str">
        <x:v>95910</x:v>
      </x:c>
      <x:c r="H200" s="12" t="str">
        <x:v>なし</x:v>
      </x:c>
      <x:c r="I200" s="12" t="str">
        <x:v>2</x:v>
      </x:c>
      <x:c r="J200" s="12" t="str">
        <x:v>https://www.pref.nagano.lg.jp/ringyo/documents/sinkeikaku2025.pdf</x:v>
      </x:c>
      <x:c r="K200" s="12" t="str">
        <x:v>2026-07-10</x:v>
      </x:c>
    </x:row>
    <x:row r="201">
      <x:c r="A201" s="12" t="str">
        <x:v>大上線</x:v>
      </x:c>
      <x:c r="B201" s="12" t="str">
        <x:v>佐久穂町</x:v>
      </x:c>
      <x:c r="C201" s="12" t="str">
        <x:v>R7-R11</x:v>
      </x:c>
      <x:c r="D201" s="12" t="str">
        <x:v>林道改良事業</x:v>
      </x:c>
      <x:c r="E201" s="12" t="str">
        <x:v>林道改良事業（改良L=20ｍ）</x:v>
      </x:c>
      <x:c r="F201" s="12" t="str">
        <x:v>R7～R7</x:v>
      </x:c>
      <x:c r="G201" s="12" t="str">
        <x:v>19160</x:v>
      </x:c>
      <x:c r="H201" s="12" t="str">
        <x:v>なし</x:v>
      </x:c>
      <x:c r="I201" s="12" t="str">
        <x:v>2</x:v>
      </x:c>
      <x:c r="J201" s="12" t="str">
        <x:v>https://www.pref.nagano.lg.jp/ringyo/documents/sinkeikaku2025.pdf</x:v>
      </x:c>
      <x:c r="K201" s="12" t="str">
        <x:v>2026-07-10</x:v>
      </x:c>
    </x:row>
    <x:row r="202">
      <x:c r="A202" s="12" t="str">
        <x:v>八ヶ岳線</x:v>
      </x:c>
      <x:c r="B202" s="12" t="str">
        <x:v>南牧村</x:v>
      </x:c>
      <x:c r="C202" s="12" t="str">
        <x:v>R7-R11</x:v>
      </x:c>
      <x:c r="D202" s="12" t="str">
        <x:v>林道改良事業</x:v>
      </x:c>
      <x:c r="E202" s="12" t="str">
        <x:v>林道改良事業（改良L=150ｍ）</x:v>
      </x:c>
      <x:c r="F202" s="12" t="str">
        <x:v>R7～R10</x:v>
      </x:c>
      <x:c r="G202" s="12" t="str">
        <x:v>121340</x:v>
      </x:c>
      <x:c r="H202" s="12" t="str">
        <x:v>なし</x:v>
      </x:c>
      <x:c r="I202" s="12" t="str">
        <x:v>2</x:v>
      </x:c>
      <x:c r="J202" s="12" t="str">
        <x:v>https://www.pref.nagano.lg.jp/ringyo/documents/sinkeikaku2025.pdf</x:v>
      </x:c>
      <x:c r="K202" s="12" t="str">
        <x:v>2026-07-10</x:v>
      </x:c>
    </x:row>
    <x:row r="203">
      <x:c r="A203" s="12" t="str">
        <x:v>山木1号線</x:v>
      </x:c>
      <x:c r="B203" s="12" t="str">
        <x:v>北相木村</x:v>
      </x:c>
      <x:c r="C203" s="12" t="str">
        <x:v>R7-R11</x:v>
      </x:c>
      <x:c r="D203" s="12" t="str">
        <x:v>林道改良事業</x:v>
      </x:c>
      <x:c r="E203" s="12" t="str">
        <x:v>林道改良事業（改良L=32ｍ）</x:v>
      </x:c>
      <x:c r="F203" s="12" t="str">
        <x:v>R7～R7</x:v>
      </x:c>
      <x:c r="G203" s="12" t="str">
        <x:v>22800</x:v>
      </x:c>
      <x:c r="H203" s="12" t="str">
        <x:v>なし</x:v>
      </x:c>
      <x:c r="I203" s="12" t="str">
        <x:v>2</x:v>
      </x:c>
      <x:c r="J203" s="12" t="str">
        <x:v>https://www.pref.nagano.lg.jp/ringyo/documents/sinkeikaku2025.pdf</x:v>
      </x:c>
      <x:c r="K203" s="12" t="str">
        <x:v>2026-07-10</x:v>
      </x:c>
    </x:row>
    <x:row r="204">
      <x:c r="A204" s="12" t="str">
        <x:v>森泉山線</x:v>
      </x:c>
      <x:c r="B204" s="12" t="str">
        <x:v>御代田町</x:v>
      </x:c>
      <x:c r="C204" s="12" t="str">
        <x:v>R7-R11</x:v>
      </x:c>
      <x:c r="D204" s="12" t="str">
        <x:v>林道改良事業</x:v>
      </x:c>
      <x:c r="E204" s="12" t="str">
        <x:v>林道改良事業（改良L=20ｍ）</x:v>
      </x:c>
      <x:c r="F204" s="12" t="str">
        <x:v>R7～R7</x:v>
      </x:c>
      <x:c r="G204" s="12" t="str">
        <x:v>22230</x:v>
      </x:c>
      <x:c r="H204" s="12" t="str">
        <x:v>なし</x:v>
      </x:c>
      <x:c r="I204" s="12" t="str">
        <x:v>2</x:v>
      </x:c>
      <x:c r="J204" s="12" t="str">
        <x:v>https://www.pref.nagano.lg.jp/ringyo/documents/sinkeikaku2025.pdf</x:v>
      </x:c>
      <x:c r="K204" s="12" t="str">
        <x:v>2026-07-10</x:v>
      </x:c>
    </x:row>
    <x:row r="205">
      <x:c r="A205" s="12" t="str">
        <x:v>日影入線</x:v>
      </x:c>
      <x:c r="B205" s="12" t="str">
        <x:v>伊那市</x:v>
      </x:c>
      <x:c r="C205" s="12" t="str">
        <x:v>R7-R11</x:v>
      </x:c>
      <x:c r="D205" s="12" t="str">
        <x:v>林道改良事業</x:v>
      </x:c>
      <x:c r="E205" s="12" t="str">
        <x:v>林道改良事業（改良L=32ｍ）</x:v>
      </x:c>
      <x:c r="F205" s="12" t="str">
        <x:v>R7～R10</x:v>
      </x:c>
      <x:c r="G205" s="12" t="str">
        <x:v>41920</x:v>
      </x:c>
      <x:c r="H205" s="12" t="str">
        <x:v>なし</x:v>
      </x:c>
      <x:c r="I205" s="12" t="str">
        <x:v>2</x:v>
      </x:c>
      <x:c r="J205" s="12" t="str">
        <x:v>https://www.pref.nagano.lg.jp/ringyo/documents/sinkeikaku2025.pdf</x:v>
      </x:c>
      <x:c r="K205" s="12" t="str">
        <x:v>2026-07-10</x:v>
      </x:c>
    </x:row>
    <x:row r="206">
      <x:c r="A206" s="12" t="str">
        <x:v>南アルプス線</x:v>
      </x:c>
      <x:c r="B206" s="12" t="str">
        <x:v>伊那市</x:v>
      </x:c>
      <x:c r="C206" s="12" t="str">
        <x:v>R7-R11</x:v>
      </x:c>
      <x:c r="D206" s="12" t="str">
        <x:v>林道改良事業</x:v>
      </x:c>
      <x:c r="E206" s="12" t="str">
        <x:v>林道改良事業（改良L=151ｍ）</x:v>
      </x:c>
      <x:c r="F206" s="12" t="str">
        <x:v>R7～R11</x:v>
      </x:c>
      <x:c r="G206" s="12" t="str">
        <x:v>145620</x:v>
      </x:c>
      <x:c r="H206" s="12" t="str">
        <x:v>なし</x:v>
      </x:c>
      <x:c r="I206" s="12" t="str">
        <x:v>2</x:v>
      </x:c>
      <x:c r="J206" s="12" t="str">
        <x:v>https://www.pref.nagano.lg.jp/ringyo/documents/sinkeikaku2025.pdf</x:v>
      </x:c>
      <x:c r="K206" s="12" t="str">
        <x:v>2026-07-10</x:v>
      </x:c>
    </x:row>
    <x:row r="207">
      <x:c r="A207" s="12" t="str">
        <x:v>古城線</x:v>
      </x:c>
      <x:c r="B207" s="12" t="str">
        <x:v>駒ヶ根市</x:v>
      </x:c>
      <x:c r="C207" s="12" t="str">
        <x:v>R7-R11</x:v>
      </x:c>
      <x:c r="D207" s="12" t="str">
        <x:v>林道改良事業</x:v>
      </x:c>
      <x:c r="E207" s="12" t="str">
        <x:v>林道改良事業（改良L=150ｍ）</x:v>
      </x:c>
      <x:c r="F207" s="12" t="str">
        <x:v>R7～R11</x:v>
      </x:c>
      <x:c r="G207" s="12" t="str">
        <x:v>95800</x:v>
      </x:c>
      <x:c r="H207" s="12" t="str">
        <x:v>なし</x:v>
      </x:c>
      <x:c r="I207" s="12" t="str">
        <x:v>2</x:v>
      </x:c>
      <x:c r="J207" s="12" t="str">
        <x:v>https://www.pref.nagano.lg.jp/ringyo/documents/sinkeikaku2025.pdf</x:v>
      </x:c>
      <x:c r="K207" s="12" t="str">
        <x:v>2026-07-10</x:v>
      </x:c>
    </x:row>
    <x:row r="208">
      <x:c r="A208" s="12" t="str">
        <x:v>横根山線</x:v>
      </x:c>
      <x:c r="B208" s="12" t="str">
        <x:v>飯島町</x:v>
      </x:c>
      <x:c r="C208" s="12" t="str">
        <x:v>R7-R11</x:v>
      </x:c>
      <x:c r="D208" s="12" t="str">
        <x:v>林道改良事業</x:v>
      </x:c>
      <x:c r="E208" s="12" t="str">
        <x:v>林道改良事業（改良L=115ｍ）</x:v>
      </x:c>
      <x:c r="F208" s="12" t="str">
        <x:v>R7～R10</x:v>
      </x:c>
      <x:c r="G208" s="12" t="str">
        <x:v>80500</x:v>
      </x:c>
      <x:c r="H208" s="12" t="str">
        <x:v>なし</x:v>
      </x:c>
      <x:c r="I208" s="12" t="str">
        <x:v>2</x:v>
      </x:c>
      <x:c r="J208" s="12" t="str">
        <x:v>https://www.pref.nagano.lg.jp/ringyo/documents/sinkeikaku2025.pdf</x:v>
      </x:c>
      <x:c r="K208" s="12" t="str">
        <x:v>2026-07-10</x:v>
      </x:c>
    </x:row>
    <x:row r="209">
      <x:c r="A209" s="12" t="str">
        <x:v>東沢線</x:v>
      </x:c>
      <x:c r="B209" s="12" t="str">
        <x:v>飯田市</x:v>
      </x:c>
      <x:c r="C209" s="12" t="str">
        <x:v>R7-R11</x:v>
      </x:c>
      <x:c r="D209" s="12" t="str">
        <x:v>林道改良事業</x:v>
      </x:c>
      <x:c r="E209" s="12" t="str">
        <x:v>林道改良事業（舗装L=1330ｍ）</x:v>
      </x:c>
      <x:c r="F209" s="12" t="str">
        <x:v>R8～R11</x:v>
      </x:c>
      <x:c r="G209" s="12" t="str">
        <x:v>72300</x:v>
      </x:c>
      <x:c r="H209" s="12" t="str">
        <x:v>なし</x:v>
      </x:c>
      <x:c r="I209" s="12" t="str">
        <x:v>2</x:v>
      </x:c>
      <x:c r="J209" s="12" t="str">
        <x:v>https://www.pref.nagano.lg.jp/ringyo/documents/sinkeikaku2025.pdf</x:v>
      </x:c>
      <x:c r="K209" s="12" t="str">
        <x:v>2026-07-10</x:v>
      </x:c>
    </x:row>
    <x:row r="210">
      <x:c r="A210" s="12" t="str">
        <x:v>東沢線</x:v>
      </x:c>
      <x:c r="B210" s="12" t="str">
        <x:v>飯田市</x:v>
      </x:c>
      <x:c r="C210" s="12" t="str">
        <x:v>R7-R11</x:v>
      </x:c>
      <x:c r="D210" s="12" t="str">
        <x:v>林道改良事業</x:v>
      </x:c>
      <x:c r="E210" s="12" t="str">
        <x:v>林道改良事業（改良L=12ｍ）</x:v>
      </x:c>
      <x:c r="F210" s="12" t="str">
        <x:v>R8～R9</x:v>
      </x:c>
      <x:c r="G210" s="12" t="str">
        <x:v>14120</x:v>
      </x:c>
      <x:c r="H210" s="12" t="str">
        <x:v>なし</x:v>
      </x:c>
      <x:c r="I210" s="12" t="str">
        <x:v>2</x:v>
      </x:c>
      <x:c r="J210" s="12" t="str">
        <x:v>https://www.pref.nagano.lg.jp/ringyo/documents/sinkeikaku2025.pdf</x:v>
      </x:c>
      <x:c r="K210" s="12" t="str">
        <x:v>2026-07-10</x:v>
      </x:c>
    </x:row>
    <x:row r="211">
      <x:c r="A211" s="12" t="str">
        <x:v>御池山線</x:v>
      </x:c>
      <x:c r="B211" s="12" t="str">
        <x:v>飯田市</x:v>
      </x:c>
      <x:c r="C211" s="12" t="str">
        <x:v>R7-R11</x:v>
      </x:c>
      <x:c r="D211" s="12" t="str">
        <x:v>林道改良事業</x:v>
      </x:c>
      <x:c r="E211" s="12" t="str">
        <x:v>林道改良事業（改良L=60ｍ）</x:v>
      </x:c>
      <x:c r="F211" s="12" t="str">
        <x:v>R10～R11</x:v>
      </x:c>
      <x:c r="G211" s="12" t="str">
        <x:v>45600</x:v>
      </x:c>
      <x:c r="H211" s="12" t="str">
        <x:v>なし</x:v>
      </x:c>
      <x:c r="I211" s="12" t="str">
        <x:v>2</x:v>
      </x:c>
      <x:c r="J211" s="12" t="str">
        <x:v>https://www.pref.nagano.lg.jp/ringyo/documents/sinkeikaku2025.pdf</x:v>
      </x:c>
      <x:c r="K211" s="12" t="str">
        <x:v>2026-07-10</x:v>
      </x:c>
    </x:row>
    <x:row r="212">
      <x:c r="A212" s="12" t="str">
        <x:v>大谷霧ヶ原線</x:v>
      </x:c>
      <x:c r="B212" s="12" t="str">
        <x:v>阿智村</x:v>
      </x:c>
      <x:c r="C212" s="12" t="str">
        <x:v>R7-R11</x:v>
      </x:c>
      <x:c r="D212" s="12" t="str">
        <x:v>林道改良事業</x:v>
      </x:c>
      <x:c r="E212" s="12" t="str">
        <x:v>林道改良事業（改良L=2,100ｍ）</x:v>
      </x:c>
      <x:c r="F212" s="12" t="str">
        <x:v>R8～R11</x:v>
      </x:c>
      <x:c r="G212" s="12" t="str">
        <x:v>95760</x:v>
      </x:c>
      <x:c r="H212" s="12" t="str">
        <x:v>なし</x:v>
      </x:c>
      <x:c r="I212" s="12" t="str">
        <x:v>2</x:v>
      </x:c>
      <x:c r="J212" s="12" t="str">
        <x:v>https://www.pref.nagano.lg.jp/ringyo/documents/sinkeikaku2025.pdf</x:v>
      </x:c>
      <x:c r="K212" s="12" t="str">
        <x:v>2026-07-10</x:v>
      </x:c>
    </x:row>
    <x:row r="213">
      <x:c r="A213" s="12" t="str">
        <x:v>本谷線</x:v>
      </x:c>
      <x:c r="B213" s="12" t="str">
        <x:v>豊丘村</x:v>
      </x:c>
      <x:c r="C213" s="12" t="str">
        <x:v>R7-R11</x:v>
      </x:c>
      <x:c r="D213" s="12" t="str">
        <x:v>林道改良事業</x:v>
      </x:c>
      <x:c r="E213" s="12" t="str">
        <x:v>林道改良事業（改良L=64ｍ）</x:v>
      </x:c>
      <x:c r="F213" s="12" t="str">
        <x:v>R7～R8</x:v>
      </x:c>
      <x:c r="G213" s="12" t="str">
        <x:v>37620</x:v>
      </x:c>
      <x:c r="H213" s="12" t="str">
        <x:v>なし</x:v>
      </x:c>
      <x:c r="I213" s="12" t="str">
        <x:v>2</x:v>
      </x:c>
      <x:c r="J213" s="12" t="str">
        <x:v>https://www.pref.nagano.lg.jp/ringyo/documents/sinkeikaku2025.pdf</x:v>
      </x:c>
      <x:c r="K213" s="12" t="str">
        <x:v>2026-07-10</x:v>
      </x:c>
    </x:row>
    <x:row r="214">
      <x:c r="A214" s="12" t="str">
        <x:v>本洞線</x:v>
      </x:c>
      <x:c r="B214" s="12" t="str">
        <x:v>木曽町</x:v>
      </x:c>
      <x:c r="C214" s="12" t="str">
        <x:v>R7-R11</x:v>
      </x:c>
      <x:c r="D214" s="12" t="str">
        <x:v>林道改良事業</x:v>
      </x:c>
      <x:c r="E214" s="12" t="str">
        <x:v>林道改良事業（改良L=83ｍ）</x:v>
      </x:c>
      <x:c r="F214" s="12" t="str">
        <x:v>R7～R7</x:v>
      </x:c>
      <x:c r="G214" s="12" t="str">
        <x:v>44711</x:v>
      </x:c>
      <x:c r="H214" s="12" t="str">
        <x:v>なし</x:v>
      </x:c>
      <x:c r="I214" s="12" t="str">
        <x:v>2</x:v>
      </x:c>
      <x:c r="J214" s="12" t="str">
        <x:v>https://www.pref.nagano.lg.jp/ringyo/documents/sinkeikaku2025.pdf</x:v>
      </x:c>
      <x:c r="K214" s="12" t="str">
        <x:v>2026-07-10</x:v>
      </x:c>
    </x:row>
    <x:row r="215">
      <x:c r="A215" s="12" t="str">
        <x:v>樽沢線</x:v>
      </x:c>
      <x:c r="B215" s="12" t="str">
        <x:v>王滝村</x:v>
      </x:c>
      <x:c r="C215" s="12" t="str">
        <x:v>R7-R11</x:v>
      </x:c>
      <x:c r="D215" s="12" t="str">
        <x:v>林道改良事業</x:v>
      </x:c>
      <x:c r="E215" s="12" t="str">
        <x:v>林道改良事業（改良L=12ｍ）</x:v>
      </x:c>
      <x:c r="F215" s="12" t="str">
        <x:v>R7～R7</x:v>
      </x:c>
      <x:c r="G215" s="12" t="str">
        <x:v>27360</x:v>
      </x:c>
      <x:c r="H215" s="12" t="str">
        <x:v>なし</x:v>
      </x:c>
      <x:c r="I215" s="12" t="str">
        <x:v>2</x:v>
      </x:c>
      <x:c r="J215" s="12" t="str">
        <x:v>https://www.pref.nagano.lg.jp/ringyo/documents/sinkeikaku2025.pdf</x:v>
      </x:c>
      <x:c r="K215" s="12" t="str">
        <x:v>2026-07-10</x:v>
      </x:c>
    </x:row>
    <x:row r="216">
      <x:c r="A216" s="12" t="str">
        <x:v>野尻与川線</x:v>
      </x:c>
      <x:c r="B216" s="12" t="str">
        <x:v>大桑村</x:v>
      </x:c>
      <x:c r="C216" s="12" t="str">
        <x:v>R7-R11</x:v>
      </x:c>
      <x:c r="D216" s="12" t="str">
        <x:v>林道改良事業</x:v>
      </x:c>
      <x:c r="E216" s="12" t="str">
        <x:v>林道改良事業（改良L=5ｍ）</x:v>
      </x:c>
      <x:c r="F216" s="12" t="str">
        <x:v>R7～R7</x:v>
      </x:c>
      <x:c r="G216" s="12" t="str">
        <x:v>19160</x:v>
      </x:c>
      <x:c r="H216" s="12" t="str">
        <x:v>なし</x:v>
      </x:c>
      <x:c r="I216" s="12" t="str">
        <x:v>2</x:v>
      </x:c>
      <x:c r="J216" s="12" t="str">
        <x:v>https://www.pref.nagano.lg.jp/ringyo/documents/sinkeikaku2025.pdf</x:v>
      </x:c>
      <x:c r="K216" s="12" t="str">
        <x:v>2026-07-10</x:v>
      </x:c>
    </x:row>
    <x:row r="217">
      <x:c r="A217" s="12" t="str">
        <x:v>宮ノ入線</x:v>
      </x:c>
      <x:c r="B217" s="12" t="str">
        <x:v>松本市</x:v>
      </x:c>
      <x:c r="C217" s="12" t="str">
        <x:v>R7-R11</x:v>
      </x:c>
      <x:c r="D217" s="12" t="str">
        <x:v>林道改良事業</x:v>
      </x:c>
      <x:c r="E217" s="12" t="str">
        <x:v>林道改良事業（改良L=545ｍ）</x:v>
      </x:c>
      <x:c r="F217" s="12" t="str">
        <x:v>R7～R11</x:v>
      </x:c>
      <x:c r="G217" s="12" t="str">
        <x:v>120860</x:v>
      </x:c>
      <x:c r="H217" s="12" t="str">
        <x:v>なし</x:v>
      </x:c>
      <x:c r="I217" s="12" t="str">
        <x:v>2</x:v>
      </x:c>
      <x:c r="J217" s="12" t="str">
        <x:v>https://www.pref.nagano.lg.jp/ringyo/documents/sinkeikaku2025.pdf</x:v>
      </x:c>
      <x:c r="K217" s="12" t="str">
        <x:v>2026-07-10</x:v>
      </x:c>
    </x:row>
    <x:row r="218">
      <x:c r="A218" s="12" t="str">
        <x:v>烏川線</x:v>
      </x:c>
      <x:c r="B218" s="12" t="str">
        <x:v>安曇野市</x:v>
      </x:c>
      <x:c r="C218" s="12" t="str">
        <x:v>R7-R11</x:v>
      </x:c>
      <x:c r="D218" s="12" t="str">
        <x:v>林道改良事業</x:v>
      </x:c>
      <x:c r="E218" s="12" t="str">
        <x:v>林道改良事業（改良L=33ｍ）</x:v>
      </x:c>
      <x:c r="F218" s="12" t="str">
        <x:v>R7～R7</x:v>
      </x:c>
      <x:c r="G218" s="12" t="str">
        <x:v>17417</x:v>
      </x:c>
      <x:c r="H218" s="12" t="str">
        <x:v>なし</x:v>
      </x:c>
      <x:c r="I218" s="12" t="str">
        <x:v>2</x:v>
      </x:c>
      <x:c r="J218" s="12" t="str">
        <x:v>https://www.pref.nagano.lg.jp/ringyo/documents/sinkeikaku2025.pdf</x:v>
      </x:c>
      <x:c r="K218" s="12" t="str">
        <x:v>2026-07-10</x:v>
      </x:c>
    </x:row>
    <x:row r="219">
      <x:c r="A219" s="12" t="str">
        <x:v>長峰線</x:v>
      </x:c>
      <x:c r="B219" s="12" t="str">
        <x:v>安曇野市</x:v>
      </x:c>
      <x:c r="C219" s="12" t="str">
        <x:v>R7-R11</x:v>
      </x:c>
      <x:c r="D219" s="12" t="str">
        <x:v>林道改良事業</x:v>
      </x:c>
      <x:c r="E219" s="12" t="str">
        <x:v>林道改良事業（改良L=120ｍ）</x:v>
      </x:c>
      <x:c r="F219" s="12" t="str">
        <x:v>R8～R11</x:v>
      </x:c>
      <x:c r="G219" s="12" t="str">
        <x:v>82080</x:v>
      </x:c>
      <x:c r="H219" s="12" t="str">
        <x:v>なし</x:v>
      </x:c>
      <x:c r="I219" s="12" t="str">
        <x:v>2</x:v>
      </x:c>
      <x:c r="J219" s="12" t="str">
        <x:v>https://www.pref.nagano.lg.jp/ringyo/documents/sinkeikaku2025.pdf</x:v>
      </x:c>
      <x:c r="K219" s="12" t="str">
        <x:v>2026-07-10</x:v>
      </x:c>
    </x:row>
    <x:row r="220">
      <x:c r="A220" s="12" t="str">
        <x:v>樫俣線</x:v>
      </x:c>
      <x:c r="B220" s="12" t="str">
        <x:v>朝日村</x:v>
      </x:c>
      <x:c r="C220" s="12" t="str">
        <x:v>R7-R11</x:v>
      </x:c>
      <x:c r="D220" s="12" t="str">
        <x:v>林道改良事業</x:v>
      </x:c>
      <x:c r="E220" s="12" t="str">
        <x:v>林道改良事業（改良L=129ｍ）</x:v>
      </x:c>
      <x:c r="F220" s="12" t="str">
        <x:v>R7～R9</x:v>
      </x:c>
      <x:c r="G220" s="12" t="str">
        <x:v>96584</x:v>
      </x:c>
      <x:c r="H220" s="12" t="str">
        <x:v>なし</x:v>
      </x:c>
      <x:c r="I220" s="12" t="str">
        <x:v>2</x:v>
      </x:c>
      <x:c r="J220" s="12" t="str">
        <x:v>https://www.pref.nagano.lg.jp/ringyo/documents/sinkeikaku2025.pdf</x:v>
      </x:c>
      <x:c r="K220" s="12" t="str">
        <x:v>2026-07-10</x:v>
      </x:c>
    </x:row>
    <x:row r="221">
      <x:c r="A221" s="12" t="str">
        <x:v>大川線</x:v>
      </x:c>
      <x:c r="B221" s="12" t="str">
        <x:v>長野市</x:v>
      </x:c>
      <x:c r="C221" s="12" t="str">
        <x:v>R7-R11</x:v>
      </x:c>
      <x:c r="D221" s="12" t="str">
        <x:v>林道改良事業</x:v>
      </x:c>
      <x:c r="E221" s="12" t="str">
        <x:v>林道改良事業（改良L=380ｍ）</x:v>
      </x:c>
      <x:c r="F221" s="12" t="str">
        <x:v>R7～R11</x:v>
      </x:c>
      <x:c r="G221" s="12" t="str">
        <x:v>107380</x:v>
      </x:c>
      <x:c r="H221" s="12" t="str">
        <x:v>なし</x:v>
      </x:c>
      <x:c r="I221" s="12" t="str">
        <x:v>2</x:v>
      </x:c>
      <x:c r="J221" s="12" t="str">
        <x:v>https://www.pref.nagano.lg.jp/ringyo/documents/sinkeikaku2025.pdf</x:v>
      </x:c>
      <x:c r="K221" s="12" t="str">
        <x:v>2026-07-10</x:v>
      </x:c>
    </x:row>
    <x:row r="222">
      <x:c r="A222" s="12" t="str">
        <x:v>中津川線</x:v>
      </x:c>
      <x:c r="B222" s="12" t="str">
        <x:v>山ノ内町</x:v>
      </x:c>
      <x:c r="C222" s="12" t="str">
        <x:v>R7-R11</x:v>
      </x:c>
      <x:c r="D222" s="12" t="str">
        <x:v>林道改良事業</x:v>
      </x:c>
      <x:c r="E222" s="12" t="str">
        <x:v>林道改良事業（改良L=8ｍ）</x:v>
      </x:c>
      <x:c r="F222" s="12" t="str">
        <x:v>R7～R8</x:v>
      </x:c>
      <x:c r="G222" s="12" t="str">
        <x:v>19210</x:v>
      </x:c>
      <x:c r="H222" s="12" t="str">
        <x:v>なし</x:v>
      </x:c>
      <x:c r="I222" s="12" t="str">
        <x:v>2</x:v>
      </x:c>
      <x:c r="J222" s="12" t="str">
        <x:v>https://www.pref.nagano.lg.jp/ringyo/documents/sinkeikaku2025.pdf</x:v>
      </x:c>
      <x:c r="K222" s="12" t="str">
        <x:v>2026-07-10</x:v>
      </x:c>
    </x:row>
    <x:row r="223">
      <x:c r="A223" s="12" t="str">
        <x:v>城山線</x:v>
      </x:c>
      <x:c r="B223" s="12" t="str">
        <x:v>佐久市</x:v>
      </x:c>
      <x:c r="C223" s="12" t="str">
        <x:v>R7-R11</x:v>
      </x:c>
      <x:c r="D223" s="12" t="str">
        <x:v>林道点検診断・保全整備事業</x:v>
      </x:c>
      <x:c r="E223" s="12" t="str">
        <x:v>点検診断・保全整備（点検診断L=63m）</x:v>
      </x:c>
      <x:c r="F223" s="12" t="str">
        <x:v>R7～R7</x:v>
      </x:c>
      <x:c r="G223" s="12" t="str">
        <x:v>2500</x:v>
      </x:c>
      <x:c r="H223" s="12" t="str">
        <x:v>なし</x:v>
      </x:c>
      <x:c r="I223" s="12" t="str">
        <x:v>2</x:v>
      </x:c>
      <x:c r="J223" s="12" t="str">
        <x:v>https://www.pref.nagano.lg.jp/ringyo/documents/sinkeikaku2025.pdf</x:v>
      </x:c>
      <x:c r="K223" s="12" t="str">
        <x:v>2026-07-10</x:v>
      </x:c>
    </x:row>
    <x:row r="224">
      <x:c r="A224" s="12" t="str">
        <x:v>虚空蔵線</x:v>
      </x:c>
      <x:c r="B224" s="12" t="str">
        <x:v>上田市</x:v>
      </x:c>
      <x:c r="C224" s="12" t="str">
        <x:v>R7-R11</x:v>
      </x:c>
      <x:c r="D224" s="12" t="str">
        <x:v>林道点検診断・保全整備事業</x:v>
      </x:c>
      <x:c r="E224" s="12" t="str">
        <x:v>点検診断・保全整備（保全整備L=6m）</x:v>
      </x:c>
      <x:c r="F224" s="12" t="str">
        <x:v>R7～R7</x:v>
      </x:c>
      <x:c r="G224" s="12" t="str">
        <x:v>5280</x:v>
      </x:c>
      <x:c r="H224" s="12" t="str">
        <x:v>なし</x:v>
      </x:c>
      <x:c r="I224" s="12" t="str">
        <x:v>2</x:v>
      </x:c>
      <x:c r="J224" s="12" t="str">
        <x:v>https://www.pref.nagano.lg.jp/ringyo/documents/sinkeikaku2025.pdf</x:v>
      </x:c>
      <x:c r="K224" s="12" t="str">
        <x:v>2026-07-10</x:v>
      </x:c>
    </x:row>
    <x:row r="225">
      <x:c r="A225" s="12" t="str">
        <x:v>氷沢線</x:v>
      </x:c>
      <x:c r="B225" s="12" t="str">
        <x:v>上田市</x:v>
      </x:c>
      <x:c r="C225" s="12" t="str">
        <x:v>R7-R11</x:v>
      </x:c>
      <x:c r="D225" s="12" t="str">
        <x:v>林道点検診断・保全整備事業</x:v>
      </x:c>
      <x:c r="E225" s="12" t="str">
        <x:v>点検診断・保全整備（保全整備L=14m）</x:v>
      </x:c>
      <x:c r="F225" s="12" t="str">
        <x:v>R8～R8</x:v>
      </x:c>
      <x:c r="G225" s="12" t="str">
        <x:v>5940</x:v>
      </x:c>
      <x:c r="H225" s="12" t="str">
        <x:v>なし</x:v>
      </x:c>
      <x:c r="I225" s="12" t="str">
        <x:v>2</x:v>
      </x:c>
      <x:c r="J225" s="12" t="str">
        <x:v>https://www.pref.nagano.lg.jp/ringyo/documents/sinkeikaku2025.pdf</x:v>
      </x:c>
      <x:c r="K225" s="12" t="str">
        <x:v>2026-07-10</x:v>
      </x:c>
    </x:row>
    <x:row r="226">
      <x:c r="A226" s="12" t="str">
        <x:v>和田武石線</x:v>
      </x:c>
      <x:c r="B226" s="12" t="str">
        <x:v>上田市</x:v>
      </x:c>
      <x:c r="C226" s="12" t="str">
        <x:v>R7-R11</x:v>
      </x:c>
      <x:c r="D226" s="12" t="str">
        <x:v>林道点検診断・保全整備事業</x:v>
      </x:c>
      <x:c r="E226" s="12" t="str">
        <x:v>点検診断・保全整備（保全整備L=5m）</x:v>
      </x:c>
      <x:c r="F226" s="12" t="str">
        <x:v>R9～R9</x:v>
      </x:c>
      <x:c r="G226" s="12" t="str">
        <x:v>2420</x:v>
      </x:c>
      <x:c r="H226" s="12" t="str">
        <x:v>なし</x:v>
      </x:c>
      <x:c r="I226" s="12" t="str">
        <x:v>2</x:v>
      </x:c>
      <x:c r="J226" s="12" t="str">
        <x:v>https://www.pref.nagano.lg.jp/ringyo/documents/sinkeikaku2025.pdf</x:v>
      </x:c>
      <x:c r="K226" s="12" t="str">
        <x:v>2026-07-10</x:v>
      </x:c>
    </x:row>
    <x:row r="227">
      <x:c r="A227" s="12" t="str">
        <x:v>沢山線</x:v>
      </x:c>
      <x:c r="B227" s="12" t="str">
        <x:v>上田市</x:v>
      </x:c>
      <x:c r="C227" s="12" t="str">
        <x:v>R7-R11</x:v>
      </x:c>
      <x:c r="D227" s="12" t="str">
        <x:v>林道点検診断・保全整備事業</x:v>
      </x:c>
      <x:c r="E227" s="12" t="str">
        <x:v>点検診断・保全整備（点検診断L=27m）</x:v>
      </x:c>
      <x:c r="F227" s="12" t="str">
        <x:v>R9～R9</x:v>
      </x:c>
      <x:c r="G227" s="12" t="str">
        <x:v>1210</x:v>
      </x:c>
      <x:c r="H227" s="12" t="str">
        <x:v>なし</x:v>
      </x:c>
      <x:c r="I227" s="12" t="str">
        <x:v>2</x:v>
      </x:c>
      <x:c r="J227" s="12" t="str">
        <x:v>https://www.pref.nagano.lg.jp/ringyo/documents/sinkeikaku2025.pdf</x:v>
      </x:c>
      <x:c r="K227" s="12" t="str">
        <x:v>2026-07-10</x:v>
      </x:c>
    </x:row>
    <x:row r="228">
      <x:c r="A228" s="12" t="str">
        <x:v>沢山線</x:v>
      </x:c>
      <x:c r="B228" s="12" t="str">
        <x:v>上田市</x:v>
      </x:c>
      <x:c r="C228" s="12" t="str">
        <x:v>R7-R11</x:v>
      </x:c>
      <x:c r="D228" s="12" t="str">
        <x:v>林道点検診断・保全整備事業</x:v>
      </x:c>
      <x:c r="E228" s="12" t="str">
        <x:v>点検診断・保全整備（点検診断L=82m）</x:v>
      </x:c>
      <x:c r="F228" s="12" t="str">
        <x:v>R10～R10</x:v>
      </x:c>
      <x:c r="G228" s="12" t="str">
        <x:v>3960</x:v>
      </x:c>
      <x:c r="H228" s="12" t="str">
        <x:v>あり</x:v>
      </x:c>
      <x:c r="I228" s="12" t="str">
        <x:v>2</x:v>
      </x:c>
      <x:c r="J228" s="12" t="str">
        <x:v>https://www.pref.nagano.lg.jp/ringyo/documents/sinkeikaku2025.pdf</x:v>
      </x:c>
      <x:c r="K228" s="12" t="str">
        <x:v>2026-07-10</x:v>
      </x:c>
    </x:row>
    <x:row r="229">
      <x:c r="A229" s="12" t="str">
        <x:v>横河山線</x:v>
      </x:c>
      <x:c r="B229" s="12" t="str">
        <x:v>岡谷市</x:v>
      </x:c>
      <x:c r="C229" s="12" t="str">
        <x:v>R7-R11</x:v>
      </x:c>
      <x:c r="D229" s="12" t="str">
        <x:v>林道点検診断・保全整備事業</x:v>
      </x:c>
      <x:c r="E229" s="12" t="str">
        <x:v>点検診断・保全整備（点検診断L=63m）</x:v>
      </x:c>
      <x:c r="F229" s="12" t="str">
        <x:v>R7～R7</x:v>
      </x:c>
      <x:c r="G229" s="12" t="str">
        <x:v>3292</x:v>
      </x:c>
      <x:c r="H229" s="12" t="str">
        <x:v>あり</x:v>
      </x:c>
      <x:c r="I229" s="12" t="str">
        <x:v>3</x:v>
      </x:c>
      <x:c r="J229" s="12" t="str">
        <x:v>https://www.pref.nagano.lg.jp/ringyo/documents/sinkeikaku2025.pdf</x:v>
      </x:c>
      <x:c r="K229" s="12" t="str">
        <x:v>2026-07-10</x:v>
      </x:c>
    </x:row>
    <x:row r="230">
      <x:c r="A230" s="12" t="str">
        <x:v>小横川線</x:v>
      </x:c>
      <x:c r="B230" s="12" t="str">
        <x:v>辰野町</x:v>
      </x:c>
      <x:c r="C230" s="12" t="str">
        <x:v>R7-R11</x:v>
      </x:c>
      <x:c r="D230" s="12" t="str">
        <x:v>林道点検診断・保全整備事業</x:v>
      </x:c>
      <x:c r="E230" s="12" t="str">
        <x:v>点検診断・保全整備（点検診断L=39m）</x:v>
      </x:c>
      <x:c r="F230" s="12" t="str">
        <x:v>R7～R7</x:v>
      </x:c>
      <x:c r="G230" s="12" t="str">
        <x:v>3860</x:v>
      </x:c>
      <x:c r="H230" s="12" t="str">
        <x:v>あり</x:v>
      </x:c>
      <x:c r="I230" s="12" t="str">
        <x:v>3</x:v>
      </x:c>
      <x:c r="J230" s="12" t="str">
        <x:v>https://www.pref.nagano.lg.jp/ringyo/documents/sinkeikaku2025.pdf</x:v>
      </x:c>
      <x:c r="K230" s="12" t="str">
        <x:v>2026-07-10</x:v>
      </x:c>
    </x:row>
    <x:row r="231">
      <x:c r="A231" s="12" t="str">
        <x:v>中樽線</x:v>
      </x:c>
      <x:c r="B231" s="12" t="str">
        <x:v>箕輪町</x:v>
      </x:c>
      <x:c r="C231" s="12" t="str">
        <x:v>R7-R11</x:v>
      </x:c>
      <x:c r="D231" s="12" t="str">
        <x:v>林道点検診断・保全整備事業</x:v>
      </x:c>
      <x:c r="E231" s="12" t="str">
        <x:v>点検診断・保全整備（点検診断L=165m）</x:v>
      </x:c>
      <x:c r="F231" s="12" t="str">
        <x:v>R7～R7</x:v>
      </x:c>
      <x:c r="G231" s="12" t="str">
        <x:v>7740</x:v>
      </x:c>
      <x:c r="H231" s="12" t="str">
        <x:v>あり</x:v>
      </x:c>
      <x:c r="I231" s="12" t="str">
        <x:v>3</x:v>
      </x:c>
      <x:c r="J231" s="12" t="str">
        <x:v>https://www.pref.nagano.lg.jp/ringyo/documents/sinkeikaku2025.pdf</x:v>
      </x:c>
      <x:c r="K231" s="12" t="str">
        <x:v>2026-07-10</x:v>
      </x:c>
    </x:row>
    <x:row r="232">
      <x:c r="A232" s="12" t="str">
        <x:v>野底山線</x:v>
      </x:c>
      <x:c r="B232" s="12" t="str">
        <x:v>飯田市</x:v>
      </x:c>
      <x:c r="C232" s="12" t="str">
        <x:v>R7-R11</x:v>
      </x:c>
      <x:c r="D232" s="12" t="str">
        <x:v>林道点検診断・保全整備事業</x:v>
      </x:c>
      <x:c r="E232" s="12" t="str">
        <x:v>点検診断・保全整備（保全整備L=13m）</x:v>
      </x:c>
      <x:c r="F232" s="12" t="str">
        <x:v>R8～R9</x:v>
      </x:c>
      <x:c r="G232" s="12" t="str">
        <x:v>14790</x:v>
      </x:c>
      <x:c r="H232" s="12" t="str">
        <x:v>なし</x:v>
      </x:c>
      <x:c r="I232" s="12" t="str">
        <x:v>3</x:v>
      </x:c>
      <x:c r="J232" s="12" t="str">
        <x:v>https://www.pref.nagano.lg.jp/ringyo/documents/sinkeikaku2025.pdf</x:v>
      </x:c>
      <x:c r="K232" s="12" t="str">
        <x:v>2026-07-10</x:v>
      </x:c>
    </x:row>
    <x:row r="233">
      <x:c r="A233" s="12" t="str">
        <x:v>野底山線</x:v>
      </x:c>
      <x:c r="B233" s="12" t="str">
        <x:v>飯田市</x:v>
      </x:c>
      <x:c r="C233" s="12" t="str">
        <x:v>R7-R11</x:v>
      </x:c>
      <x:c r="D233" s="12" t="str">
        <x:v>林道点検診断・保全整備事業</x:v>
      </x:c>
      <x:c r="E233" s="12" t="str">
        <x:v>点検診断・保全整備（点検診断L=557m）</x:v>
      </x:c>
      <x:c r="F233" s="12" t="str">
        <x:v>R7～R7</x:v>
      </x:c>
      <x:c r="G233" s="12" t="str">
        <x:v>13460</x:v>
      </x:c>
      <x:c r="H233" s="12" t="str">
        <x:v>あり</x:v>
      </x:c>
      <x:c r="I233" s="12" t="str">
        <x:v>3</x:v>
      </x:c>
      <x:c r="J233" s="12" t="str">
        <x:v>https://www.pref.nagano.lg.jp/ringyo/documents/sinkeikaku2025.pdf</x:v>
      </x:c>
      <x:c r="K233" s="12" t="str">
        <x:v>2026-07-10</x:v>
      </x:c>
    </x:row>
    <x:row r="234">
      <x:c r="A234" s="12" t="str">
        <x:v>鳩打線</x:v>
      </x:c>
      <x:c r="B234" s="12" t="str">
        <x:v>飯田市</x:v>
      </x:c>
      <x:c r="C234" s="12" t="str">
        <x:v>R7-R11</x:v>
      </x:c>
      <x:c r="D234" s="12" t="str">
        <x:v>林道点検診断・保全整備事業</x:v>
      </x:c>
      <x:c r="E234" s="12" t="str">
        <x:v>点検診断・保全整備（点検診断L=360m）</x:v>
      </x:c>
      <x:c r="F234" s="12" t="str">
        <x:v>R8～R8</x:v>
      </x:c>
      <x:c r="G234" s="12" t="str">
        <x:v>3400</x:v>
      </x:c>
      <x:c r="H234" s="12" t="str">
        <x:v>あり</x:v>
      </x:c>
      <x:c r="I234" s="12" t="str">
        <x:v>3</x:v>
      </x:c>
      <x:c r="J234" s="12" t="str">
        <x:v>https://www.pref.nagano.lg.jp/ringyo/documents/sinkeikaku2025.pdf</x:v>
      </x:c>
      <x:c r="K234" s="12" t="str">
        <x:v>2026-07-10</x:v>
      </x:c>
    </x:row>
    <x:row r="235">
      <x:c r="A235" s="12" t="str">
        <x:v>千遠線</x:v>
      </x:c>
      <x:c r="B235" s="12" t="str">
        <x:v>飯田市</x:v>
      </x:c>
      <x:c r="C235" s="12" t="str">
        <x:v>R7-R11</x:v>
      </x:c>
      <x:c r="D235" s="12" t="str">
        <x:v>林道点検診断・保全整備事業</x:v>
      </x:c>
      <x:c r="E235" s="12" t="str">
        <x:v>点検診断・保全整備（点検診断L=350m）</x:v>
      </x:c>
      <x:c r="F235" s="12" t="str">
        <x:v>R9～R9</x:v>
      </x:c>
      <x:c r="G235" s="12" t="str">
        <x:v>3400</x:v>
      </x:c>
      <x:c r="H235" s="12" t="str">
        <x:v>なし</x:v>
      </x:c>
      <x:c r="I235" s="12" t="str">
        <x:v>3</x:v>
      </x:c>
      <x:c r="J235" s="12" t="str">
        <x:v>https://www.pref.nagano.lg.jp/ringyo/documents/sinkeikaku2025.pdf</x:v>
      </x:c>
      <x:c r="K235" s="12" t="str">
        <x:v>2026-07-10</x:v>
      </x:c>
    </x:row>
    <x:row r="236">
      <x:c r="A236" s="12" t="str">
        <x:v>松川入線</x:v>
      </x:c>
      <x:c r="B236" s="12" t="str">
        <x:v>飯田市</x:v>
      </x:c>
      <x:c r="C236" s="12" t="str">
        <x:v>R7-R11</x:v>
      </x:c>
      <x:c r="D236" s="12" t="str">
        <x:v>林道点検診断・保全整備事業</x:v>
      </x:c>
      <x:c r="E236" s="12" t="str">
        <x:v>点検診断・保全整備（点検診断L=463m）</x:v>
      </x:c>
      <x:c r="F236" s="12" t="str">
        <x:v>R10～R10</x:v>
      </x:c>
      <x:c r="G236" s="12" t="str">
        <x:v>15500</x:v>
      </x:c>
      <x:c r="H236" s="12" t="str">
        <x:v>あり</x:v>
      </x:c>
      <x:c r="I236" s="12" t="str">
        <x:v>3</x:v>
      </x:c>
      <x:c r="J236" s="12" t="str">
        <x:v>https://www.pref.nagano.lg.jp/ringyo/documents/sinkeikaku2025.pdf</x:v>
      </x:c>
      <x:c r="K236" s="12" t="str">
        <x:v>2026-07-10</x:v>
      </x:c>
    </x:row>
    <x:row r="237">
      <x:c r="A237" s="12" t="str">
        <x:v>赤石線</x:v>
      </x:c>
      <x:c r="B237" s="12" t="str">
        <x:v>飯田市</x:v>
      </x:c>
      <x:c r="C237" s="12" t="str">
        <x:v>R7-R11</x:v>
      </x:c>
      <x:c r="D237" s="12" t="str">
        <x:v>林道点検診断・保全整備事業</x:v>
      </x:c>
      <x:c r="E237" s="12" t="str">
        <x:v>点検診断・保全整備（点検診断L=570m）</x:v>
      </x:c>
      <x:c r="F237" s="12" t="str">
        <x:v>R11～R11</x:v>
      </x:c>
      <x:c r="G237" s="12" t="str">
        <x:v>12760</x:v>
      </x:c>
      <x:c r="H237" s="12" t="str">
        <x:v>あり</x:v>
      </x:c>
      <x:c r="I237" s="12" t="str">
        <x:v>3</x:v>
      </x:c>
      <x:c r="J237" s="12" t="str">
        <x:v>https://www.pref.nagano.lg.jp/ringyo/documents/sinkeikaku2025.pdf</x:v>
      </x:c>
      <x:c r="K237" s="12" t="str">
        <x:v>2026-07-10</x:v>
      </x:c>
    </x:row>
    <x:row r="238">
      <x:c r="A238" s="12" t="str">
        <x:v>畑の沢線</x:v>
      </x:c>
      <x:c r="B238" s="12" t="str">
        <x:v>飯田市</x:v>
      </x:c>
      <x:c r="C238" s="12" t="str">
        <x:v>R7-R11</x:v>
      </x:c>
      <x:c r="D238" s="12" t="str">
        <x:v>林道点検診断・保全整備事業</x:v>
      </x:c>
      <x:c r="E238" s="12" t="str">
        <x:v>点検診断・保全整備（保全整備L=6m）</x:v>
      </x:c>
      <x:c r="F238" s="12" t="str">
        <x:v>R10～R11</x:v>
      </x:c>
      <x:c r="G238" s="12" t="str">
        <x:v>6155</x:v>
      </x:c>
      <x:c r="H238" s="12" t="str">
        <x:v>あり</x:v>
      </x:c>
      <x:c r="I238" s="12" t="str">
        <x:v>3</x:v>
      </x:c>
      <x:c r="J238" s="12" t="str">
        <x:v>https://www.pref.nagano.lg.jp/ringyo/documents/sinkeikaku2025.pdf</x:v>
      </x:c>
      <x:c r="K238" s="12" t="str">
        <x:v>2026-07-10</x:v>
      </x:c>
    </x:row>
    <x:row r="239">
      <x:c r="A239" s="12" t="str">
        <x:v>間沢川線</x:v>
      </x:c>
      <x:c r="B239" s="12" t="str">
        <x:v>松川町</x:v>
      </x:c>
      <x:c r="C239" s="12" t="str">
        <x:v>R7-R11</x:v>
      </x:c>
      <x:c r="D239" s="12" t="str">
        <x:v>林道点検診断・保全整備事業</x:v>
      </x:c>
      <x:c r="E239" s="12" t="str">
        <x:v>点検診断・保全整備（点検診断L=26m）</x:v>
      </x:c>
      <x:c r="F239" s="12" t="str">
        <x:v>R7～R7</x:v>
      </x:c>
      <x:c r="G239" s="12" t="str">
        <x:v>2808</x:v>
      </x:c>
      <x:c r="H239" s="12" t="str">
        <x:v>あり</x:v>
      </x:c>
      <x:c r="I239" s="12" t="str">
        <x:v>3</x:v>
      </x:c>
      <x:c r="J239" s="12" t="str">
        <x:v>https://www.pref.nagano.lg.jp/ringyo/documents/sinkeikaku2025.pdf</x:v>
      </x:c>
      <x:c r="K239" s="12" t="str">
        <x:v>2026-07-10</x:v>
      </x:c>
    </x:row>
    <x:row r="240">
      <x:c r="A240" s="12" t="str">
        <x:v>松川線</x:v>
      </x:c>
      <x:c r="B240" s="12" t="str">
        <x:v>松川町</x:v>
      </x:c>
      <x:c r="C240" s="12" t="str">
        <x:v>R7-R11</x:v>
      </x:c>
      <x:c r="D240" s="12" t="str">
        <x:v>林道点検診断・保全整備事業</x:v>
      </x:c>
      <x:c r="E240" s="12" t="str">
        <x:v>点検診断・保全整備（点検診断L=335m）</x:v>
      </x:c>
      <x:c r="F240" s="12" t="str">
        <x:v>R11～R11</x:v>
      </x:c>
      <x:c r="G240" s="12" t="str">
        <x:v>9100</x:v>
      </x:c>
      <x:c r="H240" s="12" t="str">
        <x:v>あり</x:v>
      </x:c>
      <x:c r="I240" s="12" t="str">
        <x:v>3</x:v>
      </x:c>
      <x:c r="J240" s="12" t="str">
        <x:v>https://www.pref.nagano.lg.jp/ringyo/documents/sinkeikaku2025.pdf</x:v>
      </x:c>
      <x:c r="K240" s="12" t="str">
        <x:v>2026-07-10</x:v>
      </x:c>
    </x:row>
    <x:row r="241">
      <x:c r="A241" s="12" t="str">
        <x:v>弓矢沢線</x:v>
      </x:c>
      <x:c r="B241" s="12" t="str">
        <x:v>高森町</x:v>
      </x:c>
      <x:c r="C241" s="12" t="str">
        <x:v>R7-R11</x:v>
      </x:c>
      <x:c r="D241" s="12" t="str">
        <x:v>林道点検診断・保全整備事業</x:v>
      </x:c>
      <x:c r="E241" s="12" t="str">
        <x:v>点検診断・保全整備（点検診断L=92m）</x:v>
      </x:c>
      <x:c r="F241" s="12" t="str">
        <x:v>R11～R11</x:v>
      </x:c>
      <x:c r="G241" s="12" t="str">
        <x:v>3600</x:v>
      </x:c>
      <x:c r="H241" s="12" t="str">
        <x:v>あり</x:v>
      </x:c>
      <x:c r="I241" s="12" t="str">
        <x:v>3</x:v>
      </x:c>
      <x:c r="J241" s="12" t="str">
        <x:v>https://www.pref.nagano.lg.jp/ringyo/documents/sinkeikaku2025.pdf</x:v>
      </x:c>
      <x:c r="K241" s="12" t="str">
        <x:v>2026-07-10</x:v>
      </x:c>
    </x:row>
    <x:row r="242">
      <x:c r="A242" s="12" t="str">
        <x:v>忍沢線</x:v>
      </x:c>
      <x:c r="B242" s="12" t="str">
        <x:v>阿智村</x:v>
      </x:c>
      <x:c r="C242" s="12" t="str">
        <x:v>R7-R11</x:v>
      </x:c>
      <x:c r="D242" s="12" t="str">
        <x:v>林道点検診断・保全整備事業</x:v>
      </x:c>
      <x:c r="E242" s="12" t="str">
        <x:v>点検診断・保全整備（点検診断L=76m）</x:v>
      </x:c>
      <x:c r="F242" s="12" t="str">
        <x:v>R7～R7</x:v>
      </x:c>
      <x:c r="G242" s="12" t="str">
        <x:v>4080</x:v>
      </x:c>
      <x:c r="H242" s="12" t="str">
        <x:v>あり</x:v>
      </x:c>
      <x:c r="I242" s="12" t="str">
        <x:v>3</x:v>
      </x:c>
      <x:c r="J242" s="12" t="str">
        <x:v>https://www.pref.nagano.lg.jp/ringyo/documents/sinkeikaku2025.pdf</x:v>
      </x:c>
      <x:c r="K242" s="12" t="str">
        <x:v>2026-07-10</x:v>
      </x:c>
    </x:row>
    <x:row r="243">
      <x:c r="A243" s="12" t="str">
        <x:v>弓の又線</x:v>
      </x:c>
      <x:c r="B243" s="12" t="str">
        <x:v>阿智村</x:v>
      </x:c>
      <x:c r="C243" s="12" t="str">
        <x:v>R7-R11</x:v>
      </x:c>
      <x:c r="D243" s="12" t="str">
        <x:v>林道点検診断・保全整備事業</x:v>
      </x:c>
      <x:c r="E243" s="12" t="str">
        <x:v>点検診断・保全整備（点検診断L=336m）</x:v>
      </x:c>
      <x:c r="F243" s="12" t="str">
        <x:v>R10～R10</x:v>
      </x:c>
      <x:c r="G243" s="12" t="str">
        <x:v>6120</x:v>
      </x:c>
      <x:c r="H243" s="12" t="str">
        <x:v>あり</x:v>
      </x:c>
      <x:c r="I243" s="12" t="str">
        <x:v>3</x:v>
      </x:c>
      <x:c r="J243" s="12" t="str">
        <x:v>https://www.pref.nagano.lg.jp/ringyo/documents/sinkeikaku2025.pdf</x:v>
      </x:c>
      <x:c r="K243" s="12" t="str">
        <x:v>2026-07-10</x:v>
      </x:c>
    </x:row>
    <x:row r="244">
      <x:c r="A244" s="12" t="str">
        <x:v>鳥城線</x:v>
      </x:c>
      <x:c r="B244" s="12" t="str">
        <x:v>阿智村</x:v>
      </x:c>
      <x:c r="C244" s="12" t="str">
        <x:v>R7-R11</x:v>
      </x:c>
      <x:c r="D244" s="12" t="str">
        <x:v>林道点検診断・保全整備事業</x:v>
      </x:c>
      <x:c r="E244" s="12" t="str">
        <x:v>点検診断・保全整備（点検診断L=141m）</x:v>
      </x:c>
      <x:c r="F244" s="12" t="str">
        <x:v>R11～R11</x:v>
      </x:c>
      <x:c r="G244" s="12" t="str">
        <x:v>4540</x:v>
      </x:c>
      <x:c r="H244" s="12" t="str">
        <x:v>あり</x:v>
      </x:c>
      <x:c r="I244" s="12" t="str">
        <x:v>3</x:v>
      </x:c>
      <x:c r="J244" s="12" t="str">
        <x:v>https://www.pref.nagano.lg.jp/ringyo/documents/sinkeikaku2025.pdf</x:v>
      </x:c>
      <x:c r="K244" s="12" t="str">
        <x:v>2026-07-10</x:v>
      </x:c>
    </x:row>
    <x:row r="245">
      <x:c r="A245" s="12" t="str">
        <x:v>小河内川線</x:v>
      </x:c>
      <x:c r="B245" s="12" t="str">
        <x:v>天龍村</x:v>
      </x:c>
      <x:c r="C245" s="12" t="str">
        <x:v>R7-R11</x:v>
      </x:c>
      <x:c r="D245" s="12" t="str">
        <x:v>林道点検診断・保全整備事業</x:v>
      </x:c>
      <x:c r="E245" s="12" t="str">
        <x:v>点検診断・保全整備（点検診断L=463m）</x:v>
      </x:c>
      <x:c r="F245" s="12" t="str">
        <x:v>R11～R11</x:v>
      </x:c>
      <x:c r="G245" s="12" t="str">
        <x:v>5220</x:v>
      </x:c>
      <x:c r="H245" s="12" t="str">
        <x:v>あり</x:v>
      </x:c>
      <x:c r="I245" s="12" t="str">
        <x:v>3</x:v>
      </x:c>
      <x:c r="J245" s="12" t="str">
        <x:v>https://www.pref.nagano.lg.jp/ringyo/documents/sinkeikaku2025.pdf</x:v>
      </x:c>
      <x:c r="K245" s="12" t="str">
        <x:v>2026-07-10</x:v>
      </x:c>
    </x:row>
    <x:row r="246">
      <x:c r="A246" s="12" t="str">
        <x:v>万古川線</x:v>
      </x:c>
      <x:c r="B246" s="12" t="str">
        <x:v>泰阜村</x:v>
      </x:c>
      <x:c r="C246" s="12" t="str">
        <x:v>R7-R11</x:v>
      </x:c>
      <x:c r="D246" s="12" t="str">
        <x:v>林道点検診断・保全整備事業</x:v>
      </x:c>
      <x:c r="E246" s="12" t="str">
        <x:v>点検診断・保全整備（点検診断L=262m）</x:v>
      </x:c>
      <x:c r="F246" s="12" t="str">
        <x:v>R11～R11</x:v>
      </x:c>
      <x:c r="G246" s="12" t="str">
        <x:v>7300</x:v>
      </x:c>
      <x:c r="H246" s="12" t="str">
        <x:v>あり</x:v>
      </x:c>
      <x:c r="I246" s="12" t="str">
        <x:v>3</x:v>
      </x:c>
      <x:c r="J246" s="12" t="str">
        <x:v>https://www.pref.nagano.lg.jp/ringyo/documents/sinkeikaku2025.pdf</x:v>
      </x:c>
      <x:c r="K246" s="12" t="str">
        <x:v>2026-07-10</x:v>
      </x:c>
    </x:row>
    <x:row r="247">
      <x:c r="A247" s="12" t="str">
        <x:v>売木うつぼ線</x:v>
      </x:c>
      <x:c r="B247" s="12" t="str">
        <x:v>阿南町</x:v>
      </x:c>
      <x:c r="C247" s="12" t="str">
        <x:v>R7-R11</x:v>
      </x:c>
      <x:c r="D247" s="12" t="str">
        <x:v>林道点検診断・保全整備事業</x:v>
      </x:c>
      <x:c r="E247" s="12" t="str">
        <x:v>点検診断・保全整備（点検診断L=218m）</x:v>
      </x:c>
      <x:c r="F247" s="12" t="str">
        <x:v>R7～R7</x:v>
      </x:c>
      <x:c r="G247" s="12" t="str">
        <x:v>9120</x:v>
      </x:c>
      <x:c r="H247" s="12" t="str">
        <x:v>あり</x:v>
      </x:c>
      <x:c r="I247" s="12" t="str">
        <x:v>3</x:v>
      </x:c>
      <x:c r="J247" s="12" t="str">
        <x:v>https://www.pref.nagano.lg.jp/ringyo/documents/sinkeikaku2025.pdf</x:v>
      </x:c>
      <x:c r="K247" s="12" t="str">
        <x:v>2026-07-10</x:v>
      </x:c>
    </x:row>
    <x:row r="248">
      <x:c r="A248" s="12" t="str">
        <x:v>外山線</x:v>
      </x:c>
      <x:c r="B248" s="12" t="str">
        <x:v>根羽村</x:v>
      </x:c>
      <x:c r="C248" s="12" t="str">
        <x:v>R7-R11</x:v>
      </x:c>
      <x:c r="D248" s="12" t="str">
        <x:v>林道点検診断・保全整備事業</x:v>
      </x:c>
      <x:c r="E248" s="12" t="str">
        <x:v>点検診断・保全整備（点検診断L=214m）</x:v>
      </x:c>
      <x:c r="F248" s="12" t="str">
        <x:v>R11～R11</x:v>
      </x:c>
      <x:c r="G248" s="12" t="str">
        <x:v>9100</x:v>
      </x:c>
      <x:c r="H248" s="12" t="str">
        <x:v>あり</x:v>
      </x:c>
      <x:c r="I248" s="12" t="str">
        <x:v>3</x:v>
      </x:c>
      <x:c r="J248" s="12" t="str">
        <x:v>https://www.pref.nagano.lg.jp/ringyo/documents/sinkeikaku2025.pdf</x:v>
      </x:c>
      <x:c r="K248" s="12" t="str">
        <x:v>2026-07-10</x:v>
      </x:c>
    </x:row>
    <x:row r="249">
      <x:c r="A249" s="12" t="str">
        <x:v>極楽峠線</x:v>
      </x:c>
      <x:c r="B249" s="12" t="str">
        <x:v>下條村</x:v>
      </x:c>
      <x:c r="C249" s="12" t="str">
        <x:v>R7-R11</x:v>
      </x:c>
      <x:c r="D249" s="12" t="str">
        <x:v>林道点検診断・保全整備事業</x:v>
      </x:c>
      <x:c r="E249" s="12" t="str">
        <x:v>点検診断・保全整備（点検診断L=204m）</x:v>
      </x:c>
      <x:c r="F249" s="12" t="str">
        <x:v>R7～R7</x:v>
      </x:c>
      <x:c r="G249" s="12" t="str">
        <x:v>6580</x:v>
      </x:c>
      <x:c r="H249" s="12" t="str">
        <x:v>あり</x:v>
      </x:c>
      <x:c r="I249" s="12" t="str">
        <x:v>3</x:v>
      </x:c>
      <x:c r="J249" s="12" t="str">
        <x:v>https://www.pref.nagano.lg.jp/ringyo/documents/sinkeikaku2025.pdf</x:v>
      </x:c>
      <x:c r="K249" s="12" t="str">
        <x:v>2026-07-10</x:v>
      </x:c>
    </x:row>
    <x:row r="250">
      <x:c r="A250" s="12" t="str">
        <x:v>大島氏乗線</x:v>
      </x:c>
      <x:c r="B250" s="12" t="str">
        <x:v>喬木村</x:v>
      </x:c>
      <x:c r="C250" s="12" t="str">
        <x:v>R7-R11</x:v>
      </x:c>
      <x:c r="D250" s="12" t="str">
        <x:v>林道点検診断・保全整備事業</x:v>
      </x:c>
      <x:c r="E250" s="12" t="str">
        <x:v>点検診断・保全整備（点検診断L=236m）</x:v>
      </x:c>
      <x:c r="F250" s="12" t="str">
        <x:v>R11～R11</x:v>
      </x:c>
      <x:c r="G250" s="12" t="str">
        <x:v>7060</x:v>
      </x:c>
      <x:c r="H250" s="12" t="str">
        <x:v>あり</x:v>
      </x:c>
      <x:c r="I250" s="12" t="str">
        <x:v>3</x:v>
      </x:c>
      <x:c r="J250" s="12" t="str">
        <x:v>https://www.pref.nagano.lg.jp/ringyo/documents/sinkeikaku2025.pdf</x:v>
      </x:c>
      <x:c r="K250" s="12" t="str">
        <x:v>2026-07-10</x:v>
      </x:c>
    </x:row>
    <x:row r="251">
      <x:c r="A251" s="12" t="str">
        <x:v>間沢川線</x:v>
      </x:c>
      <x:c r="B251" s="12" t="str">
        <x:v>豊丘村</x:v>
      </x:c>
      <x:c r="C251" s="12" t="str">
        <x:v>R7-R11</x:v>
      </x:c>
      <x:c r="D251" s="12" t="str">
        <x:v>林道点検診断・保全整備事業</x:v>
      </x:c>
      <x:c r="E251" s="12" t="str">
        <x:v>点検診断・保全整備（点検診断L=50m）</x:v>
      </x:c>
      <x:c r="F251" s="12" t="str">
        <x:v>R10～R10</x:v>
      </x:c>
      <x:c r="G251" s="12" t="str">
        <x:v>2920</x:v>
      </x:c>
      <x:c r="H251" s="12" t="str">
        <x:v>なし</x:v>
      </x:c>
      <x:c r="I251" s="12" t="str">
        <x:v>3</x:v>
      </x:c>
      <x:c r="J251" s="12" t="str">
        <x:v>https://www.pref.nagano.lg.jp/ringyo/documents/sinkeikaku2025.pdf</x:v>
      </x:c>
      <x:c r="K251" s="12" t="str">
        <x:v>2026-07-10</x:v>
      </x:c>
    </x:row>
    <x:row r="252">
      <x:c r="A252" s="12" t="str">
        <x:v>大島虻川線</x:v>
      </x:c>
      <x:c r="B252" s="12" t="str">
        <x:v>豊丘村</x:v>
      </x:c>
      <x:c r="C252" s="12" t="str">
        <x:v>R7-R11</x:v>
      </x:c>
      <x:c r="D252" s="12" t="str">
        <x:v>林道点検診断・保全整備事業</x:v>
      </x:c>
      <x:c r="E252" s="12" t="str">
        <x:v>点検診断・保全整備（点検診断L=78m）</x:v>
      </x:c>
      <x:c r="F252" s="12" t="str">
        <x:v>R10～R10</x:v>
      </x:c>
      <x:c r="G252" s="12" t="str">
        <x:v>3400</x:v>
      </x:c>
      <x:c r="H252" s="12" t="str">
        <x:v>なし</x:v>
      </x:c>
      <x:c r="I252" s="12" t="str">
        <x:v>3</x:v>
      </x:c>
      <x:c r="J252" s="12" t="str">
        <x:v>https://www.pref.nagano.lg.jp/ringyo/documents/sinkeikaku2025.pdf</x:v>
      </x:c>
      <x:c r="K252" s="12" t="str">
        <x:v>2026-07-10</x:v>
      </x:c>
    </x:row>
    <x:row r="253">
      <x:c r="A253" s="12" t="str">
        <x:v>本谷線</x:v>
      </x:c>
      <x:c r="B253" s="12" t="str">
        <x:v>豊丘村</x:v>
      </x:c>
      <x:c r="C253" s="12" t="str">
        <x:v>R7-R11</x:v>
      </x:c>
      <x:c r="D253" s="12" t="str">
        <x:v>林道点検診断・保全整備事業</x:v>
      </x:c>
      <x:c r="E253" s="12" t="str">
        <x:v>点検診断・保全整備（点検診断L=59m）</x:v>
      </x:c>
      <x:c r="F253" s="12" t="str">
        <x:v>R10～R10</x:v>
      </x:c>
      <x:c r="G253" s="12" t="str">
        <x:v>3400</x:v>
      </x:c>
      <x:c r="H253" s="12" t="str">
        <x:v>なし</x:v>
      </x:c>
      <x:c r="I253" s="12" t="str">
        <x:v>3</x:v>
      </x:c>
      <x:c r="J253" s="12" t="str">
        <x:v>https://www.pref.nagano.lg.jp/ringyo/documents/sinkeikaku2025.pdf</x:v>
      </x:c>
      <x:c r="K253" s="12" t="str">
        <x:v>2026-07-10</x:v>
      </x:c>
    </x:row>
    <x:row r="254">
      <x:c r="A254" s="12" t="str">
        <x:v>郷士沢線</x:v>
      </x:c>
      <x:c r="B254" s="12" t="str">
        <x:v>豊丘村</x:v>
      </x:c>
      <x:c r="C254" s="12" t="str">
        <x:v>R7-R11</x:v>
      </x:c>
      <x:c r="D254" s="12" t="str">
        <x:v>林道点検診断・保全整備事業</x:v>
      </x:c>
      <x:c r="E254" s="12" t="str">
        <x:v>点検診断・保全整備（点検診断L=11m）</x:v>
      </x:c>
      <x:c r="F254" s="12" t="str">
        <x:v>R10～R10</x:v>
      </x:c>
      <x:c r="G254" s="12" t="str">
        <x:v>472</x:v>
      </x:c>
      <x:c r="H254" s="12" t="str">
        <x:v>なし</x:v>
      </x:c>
      <x:c r="I254" s="12" t="str">
        <x:v>3</x:v>
      </x:c>
      <x:c r="J254" s="12" t="str">
        <x:v>https://www.pref.nagano.lg.jp/ringyo/documents/sinkeikaku2025.pdf</x:v>
      </x:c>
      <x:c r="K254" s="12" t="str">
        <x:v>2026-07-10</x:v>
      </x:c>
    </x:row>
    <x:row r="255">
      <x:c r="A255" s="12" t="str">
        <x:v>間沢川線</x:v>
      </x:c>
      <x:c r="B255" s="12" t="str">
        <x:v>豊丘村</x:v>
      </x:c>
      <x:c r="C255" s="12" t="str">
        <x:v>R7-R11</x:v>
      </x:c>
      <x:c r="D255" s="12" t="str">
        <x:v>林道点検診断・保全整備事業</x:v>
      </x:c>
      <x:c r="E255" s="12" t="str">
        <x:v>点検診断・保全整備（保全整備L=13m）</x:v>
      </x:c>
      <x:c r="F255" s="12" t="str">
        <x:v>R8～R9</x:v>
      </x:c>
      <x:c r="G255" s="12" t="str">
        <x:v>1996</x:v>
      </x:c>
      <x:c r="H255" s="12" t="str">
        <x:v>なし</x:v>
      </x:c>
      <x:c r="I255" s="12" t="str">
        <x:v>3</x:v>
      </x:c>
      <x:c r="J255" s="12" t="str">
        <x:v>https://www.pref.nagano.lg.jp/ringyo/documents/sinkeikaku2025.pdf</x:v>
      </x:c>
      <x:c r="K255" s="12" t="str">
        <x:v>2026-07-10</x:v>
      </x:c>
    </x:row>
    <x:row r="256">
      <x:c r="A256" s="12" t="str">
        <x:v>大島虻川線</x:v>
      </x:c>
      <x:c r="B256" s="12" t="str">
        <x:v>豊丘村</x:v>
      </x:c>
      <x:c r="C256" s="12" t="str">
        <x:v>R7-R11</x:v>
      </x:c>
      <x:c r="D256" s="12" t="str">
        <x:v>林道点検診断・保全整備事業</x:v>
      </x:c>
      <x:c r="E256" s="12" t="str">
        <x:v>点検診断・保全整備（保全整備L=15m）</x:v>
      </x:c>
      <x:c r="F256" s="12" t="str">
        <x:v>R8～R8</x:v>
      </x:c>
      <x:c r="G256" s="12" t="str">
        <x:v>2500</x:v>
      </x:c>
      <x:c r="H256" s="12" t="str">
        <x:v>なし</x:v>
      </x:c>
      <x:c r="I256" s="12" t="str">
        <x:v>3</x:v>
      </x:c>
      <x:c r="J256" s="12" t="str">
        <x:v>https://www.pref.nagano.lg.jp/ringyo/documents/sinkeikaku2025.pdf</x:v>
      </x:c>
      <x:c r="K256" s="12" t="str">
        <x:v>2026-07-10</x:v>
      </x:c>
    </x:row>
    <x:row r="257">
      <x:c r="A257" s="12" t="str">
        <x:v>本谷線</x:v>
      </x:c>
      <x:c r="B257" s="12" t="str">
        <x:v>豊丘村</x:v>
      </x:c>
      <x:c r="C257" s="12" t="str">
        <x:v>R7-R11</x:v>
      </x:c>
      <x:c r="D257" s="12" t="str">
        <x:v>林道点検診断・保全整備事業</x:v>
      </x:c>
      <x:c r="E257" s="12" t="str">
        <x:v>点検診断・保全整備（保全整備L=31m）</x:v>
      </x:c>
      <x:c r="F257" s="12" t="str">
        <x:v>R8～R8</x:v>
      </x:c>
      <x:c r="G257" s="12" t="str">
        <x:v>5900</x:v>
      </x:c>
      <x:c r="H257" s="12" t="str">
        <x:v>なし</x:v>
      </x:c>
      <x:c r="I257" s="12" t="str">
        <x:v>3</x:v>
      </x:c>
      <x:c r="J257" s="12" t="str">
        <x:v>https://www.pref.nagano.lg.jp/ringyo/documents/sinkeikaku2025.pdf</x:v>
      </x:c>
      <x:c r="K257" s="12" t="str">
        <x:v>2026-07-10</x:v>
      </x:c>
    </x:row>
    <x:row r="258">
      <x:c r="A258" s="12" t="str">
        <x:v>鳥倉線</x:v>
      </x:c>
      <x:c r="B258" s="12" t="str">
        <x:v>大鹿村</x:v>
      </x:c>
      <x:c r="C258" s="12" t="str">
        <x:v>R7-R11</x:v>
      </x:c>
      <x:c r="D258" s="12" t="str">
        <x:v>林道点検診断・保全整備事業</x:v>
      </x:c>
      <x:c r="E258" s="12" t="str">
        <x:v>点検診断・保全整備（点検診断L=236m）</x:v>
      </x:c>
      <x:c r="F258" s="12" t="str">
        <x:v>R11～R11</x:v>
      </x:c>
      <x:c r="G258" s="12" t="str">
        <x:v>7740</x:v>
      </x:c>
      <x:c r="H258" s="12" t="str">
        <x:v>あり</x:v>
      </x:c>
      <x:c r="I258" s="12" t="str">
        <x:v>3</x:v>
      </x:c>
      <x:c r="J258" s="12" t="str">
        <x:v>https://www.pref.nagano.lg.jp/ringyo/documents/sinkeikaku2025.pdf</x:v>
      </x:c>
      <x:c r="K258" s="12" t="str">
        <x:v>2026-07-10</x:v>
      </x:c>
    </x:row>
    <x:row r="259">
      <x:c r="A259" s="12" t="str">
        <x:v>大畑線</x:v>
      </x:c>
      <x:c r="B259" s="12" t="str">
        <x:v>上松町</x:v>
      </x:c>
      <x:c r="C259" s="12" t="str">
        <x:v>R7-R11</x:v>
      </x:c>
      <x:c r="D259" s="12" t="str">
        <x:v>林道点検診断・保全整備事業</x:v>
      </x:c>
      <x:c r="E259" s="12" t="str">
        <x:v>点検診断・保全整備（保全整備L=18m）</x:v>
      </x:c>
      <x:c r="F259" s="12" t="str">
        <x:v>R7～R7</x:v>
      </x:c>
      <x:c r="G259" s="12" t="str">
        <x:v>8550</x:v>
      </x:c>
      <x:c r="H259" s="12" t="str">
        <x:v>なし</x:v>
      </x:c>
      <x:c r="I259" s="12" t="str">
        <x:v>3</x:v>
      </x:c>
      <x:c r="J259" s="12" t="str">
        <x:v>https://www.pref.nagano.lg.jp/ringyo/documents/sinkeikaku2025.pdf</x:v>
      </x:c>
      <x:c r="K259" s="12" t="str">
        <x:v>2026-07-10</x:v>
      </x:c>
    </x:row>
    <x:row r="260">
      <x:c r="A260" s="12" t="str">
        <x:v>大畑線</x:v>
      </x:c>
      <x:c r="B260" s="12" t="str">
        <x:v>上松町</x:v>
      </x:c>
      <x:c r="C260" s="12" t="str">
        <x:v>R7-R11</x:v>
      </x:c>
      <x:c r="D260" s="12" t="str">
        <x:v>林道点検診断・保全整備事業</x:v>
      </x:c>
      <x:c r="E260" s="12" t="str">
        <x:v>点検診断・保全整備（点検診断L=226m）</x:v>
      </x:c>
      <x:c r="F260" s="12" t="str">
        <x:v>R7～R7</x:v>
      </x:c>
      <x:c r="G260" s="12" t="str">
        <x:v>5900</x:v>
      </x:c>
      <x:c r="H260" s="12" t="str">
        <x:v>あり</x:v>
      </x:c>
      <x:c r="I260" s="12" t="str">
        <x:v>4</x:v>
      </x:c>
      <x:c r="J260" s="12" t="str">
        <x:v>https://www.pref.nagano.lg.jp/ringyo/documents/sinkeikaku2025.pdf</x:v>
      </x:c>
      <x:c r="K260" s="12" t="str">
        <x:v>2026-07-10</x:v>
      </x:c>
    </x:row>
    <x:row r="261">
      <x:c r="A261" s="12" t="str">
        <x:v>川向梛野線</x:v>
      </x:c>
      <x:c r="B261" s="12" t="str">
        <x:v>南木曽町</x:v>
      </x:c>
      <x:c r="C261" s="12" t="str">
        <x:v>R7-R11</x:v>
      </x:c>
      <x:c r="D261" s="12" t="str">
        <x:v>林道点検診断・保全整備事業</x:v>
      </x:c>
      <x:c r="E261" s="12" t="str">
        <x:v>点検診断・保全整備（点検診断L=745m）</x:v>
      </x:c>
      <x:c r="F261" s="12" t="str">
        <x:v>R7～R7</x:v>
      </x:c>
      <x:c r="G261" s="12" t="str">
        <x:v>6840</x:v>
      </x:c>
      <x:c r="H261" s="12" t="str">
        <x:v>なし</x:v>
      </x:c>
      <x:c r="I261" s="12" t="str">
        <x:v>4</x:v>
      </x:c>
      <x:c r="J261" s="12" t="str">
        <x:v>https://www.pref.nagano.lg.jp/ringyo/documents/sinkeikaku2025.pdf</x:v>
      </x:c>
      <x:c r="K261" s="12" t="str">
        <x:v>2026-07-10</x:v>
      </x:c>
    </x:row>
    <x:row r="262">
      <x:c r="A262" s="12" t="str">
        <x:v>長根線</x:v>
      </x:c>
      <x:c r="B262" s="12" t="str">
        <x:v>南木曽町</x:v>
      </x:c>
      <x:c r="C262" s="12" t="str">
        <x:v>R7-R11</x:v>
      </x:c>
      <x:c r="D262" s="12" t="str">
        <x:v>林道点検診断・保全整備事業</x:v>
      </x:c>
      <x:c r="E262" s="12" t="str">
        <x:v>点検診断・保全整備（点検診断L=160m）</x:v>
      </x:c>
      <x:c r="F262" s="12" t="str">
        <x:v>R10～R10</x:v>
      </x:c>
      <x:c r="G262" s="12" t="str">
        <x:v>5700</x:v>
      </x:c>
      <x:c r="H262" s="12" t="str">
        <x:v>あり</x:v>
      </x:c>
      <x:c r="I262" s="12" t="str">
        <x:v>4</x:v>
      </x:c>
      <x:c r="J262" s="12" t="str">
        <x:v>https://www.pref.nagano.lg.jp/ringyo/documents/sinkeikaku2025.pdf</x:v>
      </x:c>
      <x:c r="K262" s="12" t="str">
        <x:v>2026-07-10</x:v>
      </x:c>
    </x:row>
    <x:row r="263">
      <x:c r="A263" s="12" t="str">
        <x:v>川向梛野線</x:v>
      </x:c>
      <x:c r="B263" s="12" t="str">
        <x:v>南木曽町</x:v>
      </x:c>
      <x:c r="C263" s="12" t="str">
        <x:v>R7-R11</x:v>
      </x:c>
      <x:c r="D263" s="12" t="str">
        <x:v>林道点検診断・保全整備事業</x:v>
      </x:c>
      <x:c r="E263" s="12" t="str">
        <x:v>点検診断・保全整備（点検診断L=188m）</x:v>
      </x:c>
      <x:c r="F263" s="12" t="str">
        <x:v>R11～R11</x:v>
      </x:c>
      <x:c r="G263" s="12" t="str">
        <x:v>5700</x:v>
      </x:c>
      <x:c r="H263" s="12" t="str">
        <x:v>なし</x:v>
      </x:c>
      <x:c r="I263" s="12" t="str">
        <x:v>4</x:v>
      </x:c>
      <x:c r="J263" s="12" t="str">
        <x:v>https://www.pref.nagano.lg.jp/ringyo/documents/sinkeikaku2025.pdf</x:v>
      </x:c>
      <x:c r="K263" s="12" t="str">
        <x:v>2026-07-10</x:v>
      </x:c>
    </x:row>
    <x:row r="264">
      <x:c r="A264" s="12" t="str">
        <x:v>洞ノ沢線</x:v>
      </x:c>
      <x:c r="B264" s="12" t="str">
        <x:v>木曽町</x:v>
      </x:c>
      <x:c r="C264" s="12" t="str">
        <x:v>R7-R11</x:v>
      </x:c>
      <x:c r="D264" s="12" t="str">
        <x:v>林道点検診断・保全整備事業</x:v>
      </x:c>
      <x:c r="E264" s="12" t="str">
        <x:v>点検診断・保全整備（点検診断L=132m）</x:v>
      </x:c>
      <x:c r="F264" s="12" t="str">
        <x:v>R7～R7</x:v>
      </x:c>
      <x:c r="G264" s="12" t="str">
        <x:v>10240</x:v>
      </x:c>
      <x:c r="H264" s="12" t="str">
        <x:v>あり</x:v>
      </x:c>
      <x:c r="I264" s="12" t="str">
        <x:v>4</x:v>
      </x:c>
      <x:c r="J264" s="12" t="str">
        <x:v>https://www.pref.nagano.lg.jp/ringyo/documents/sinkeikaku2025.pdf</x:v>
      </x:c>
      <x:c r="K264" s="12" t="str">
        <x:v>2026-07-10</x:v>
      </x:c>
    </x:row>
    <x:row r="265">
      <x:c r="A265" s="12" t="str">
        <x:v>東又線</x:v>
      </x:c>
      <x:c r="B265" s="12" t="str">
        <x:v>木曽町</x:v>
      </x:c>
      <x:c r="C265" s="12" t="str">
        <x:v>R7-R11</x:v>
      </x:c>
      <x:c r="D265" s="12" t="str">
        <x:v>林道点検診断・保全整備事業</x:v>
      </x:c>
      <x:c r="E265" s="12" t="str">
        <x:v>点検診断・保全整備（保全整備L=5m）</x:v>
      </x:c>
      <x:c r="F265" s="12" t="str">
        <x:v>R8～R8</x:v>
      </x:c>
      <x:c r="G265" s="12" t="str">
        <x:v>3860</x:v>
      </x:c>
      <x:c r="H265" s="12" t="str">
        <x:v>なし</x:v>
      </x:c>
      <x:c r="I265" s="12" t="str">
        <x:v>4</x:v>
      </x:c>
      <x:c r="J265" s="12" t="str">
        <x:v>https://www.pref.nagano.lg.jp/ringyo/documents/sinkeikaku2025.pdf</x:v>
      </x:c>
      <x:c r="K265" s="12" t="str">
        <x:v>2026-07-10</x:v>
      </x:c>
    </x:row>
    <x:row r="266">
      <x:c r="A266" s="12" t="str">
        <x:v>大沢線</x:v>
      </x:c>
      <x:c r="B266" s="12" t="str">
        <x:v>木曽町</x:v>
      </x:c>
      <x:c r="C266" s="12" t="str">
        <x:v>R7-R11</x:v>
      </x:c>
      <x:c r="D266" s="12" t="str">
        <x:v>林道点検診断・保全整備事業</x:v>
      </x:c>
      <x:c r="E266" s="12" t="str">
        <x:v>点検診断・保全整備（保全整備L=6m）</x:v>
      </x:c>
      <x:c r="F266" s="12" t="str">
        <x:v>R9～R9</x:v>
      </x:c>
      <x:c r="G266" s="12" t="str">
        <x:v>6120</x:v>
      </x:c>
      <x:c r="H266" s="12" t="str">
        <x:v>なし</x:v>
      </x:c>
      <x:c r="I266" s="12" t="str">
        <x:v>4</x:v>
      </x:c>
      <x:c r="J266" s="12" t="str">
        <x:v>https://www.pref.nagano.lg.jp/ringyo/documents/sinkeikaku2025.pdf</x:v>
      </x:c>
      <x:c r="K266" s="12" t="str">
        <x:v>2026-07-10</x:v>
      </x:c>
    </x:row>
    <x:row r="267">
      <x:c r="A267" s="12" t="str">
        <x:v>熊澤幸沢線</x:v>
      </x:c>
      <x:c r="B267" s="12" t="str">
        <x:v>木曽町</x:v>
      </x:c>
      <x:c r="C267" s="12" t="str">
        <x:v>R7-R11</x:v>
      </x:c>
      <x:c r="D267" s="12" t="str">
        <x:v>林道点検診断・保全整備事業</x:v>
      </x:c>
      <x:c r="E267" s="12" t="str">
        <x:v>点検診断・保全整備（点検診断L=224m）</x:v>
      </x:c>
      <x:c r="F267" s="12" t="str">
        <x:v>R10～R10</x:v>
      </x:c>
      <x:c r="G267" s="12" t="str">
        <x:v>11400</x:v>
      </x:c>
      <x:c r="H267" s="12" t="str">
        <x:v>あり</x:v>
      </x:c>
      <x:c r="I267" s="12" t="str">
        <x:v>4</x:v>
      </x:c>
      <x:c r="J267" s="12" t="str">
        <x:v>https://www.pref.nagano.lg.jp/ringyo/documents/sinkeikaku2025.pdf</x:v>
      </x:c>
      <x:c r="K267" s="12" t="str">
        <x:v>2026-07-10</x:v>
      </x:c>
    </x:row>
    <x:row r="268">
      <x:c r="A268" s="12" t="str">
        <x:v>小曽部線</x:v>
      </x:c>
      <x:c r="B268" s="12" t="str">
        <x:v>塩尻市</x:v>
      </x:c>
      <x:c r="C268" s="12" t="str">
        <x:v>R7-R11</x:v>
      </x:c>
      <x:c r="D268" s="12" t="str">
        <x:v>林道点検診断・保全整備事業</x:v>
      </x:c>
      <x:c r="E268" s="12" t="str">
        <x:v>点検診断・保全整備（保全整備L=7m）</x:v>
      </x:c>
      <x:c r="F268" s="12" t="str">
        <x:v>R7～R7</x:v>
      </x:c>
      <x:c r="G268" s="12" t="str">
        <x:v>6840</x:v>
      </x:c>
      <x:c r="H268" s="12" t="str">
        <x:v>なし</x:v>
      </x:c>
      <x:c r="I268" s="12" t="str">
        <x:v>4</x:v>
      </x:c>
      <x:c r="J268" s="12" t="str">
        <x:v>https://www.pref.nagano.lg.jp/ringyo/documents/sinkeikaku2025.pdf</x:v>
      </x:c>
      <x:c r="K268" s="12" t="str">
        <x:v>2026-07-10</x:v>
      </x:c>
    </x:row>
    <x:row r="269">
      <x:c r="A269" s="12" t="str">
        <x:v>栃平線</x:v>
      </x:c>
      <x:c r="B269" s="12" t="str">
        <x:v>筑北村</x:v>
      </x:c>
      <x:c r="C269" s="12" t="str">
        <x:v>R7-R11</x:v>
      </x:c>
      <x:c r="D269" s="12" t="str">
        <x:v>林道点検診断・保全整備事業</x:v>
      </x:c>
      <x:c r="E269" s="12" t="str">
        <x:v>点検診断・保全整備（点検診断L=86m）</x:v>
      </x:c>
      <x:c r="F269" s="12" t="str">
        <x:v>R7～R7</x:v>
      </x:c>
      <x:c r="G269" s="12" t="str">
        <x:v>5700</x:v>
      </x:c>
      <x:c r="H269" s="12" t="str">
        <x:v>あり</x:v>
      </x:c>
      <x:c r="I269" s="12" t="str">
        <x:v>4</x:v>
      </x:c>
      <x:c r="J269" s="12" t="str">
        <x:v>https://www.pref.nagano.lg.jp/ringyo/documents/sinkeikaku2025.pdf</x:v>
      </x:c>
      <x:c r="K269" s="12" t="str">
        <x:v>2026-07-10</x:v>
      </x:c>
    </x:row>
    <x:row r="270">
      <x:c r="A270" s="12" t="str">
        <x:v>大川線</x:v>
      </x:c>
      <x:c r="B270" s="12" t="str">
        <x:v>長野市</x:v>
      </x:c>
      <x:c r="C270" s="12" t="str">
        <x:v>R7-R11</x:v>
      </x:c>
      <x:c r="D270" s="12" t="str">
        <x:v>林道点検診断・保全整備事業</x:v>
      </x:c>
      <x:c r="E270" s="12" t="str">
        <x:v>点検診断・保全整備（点検診断L=823m）</x:v>
      </x:c>
      <x:c r="F270" s="12" t="str">
        <x:v>R7～R11</x:v>
      </x:c>
      <x:c r="G270" s="12" t="str">
        <x:v>19260</x:v>
      </x:c>
      <x:c r="H270" s="12" t="str">
        <x:v>なし</x:v>
      </x:c>
      <x:c r="I270" s="12" t="str">
        <x:v>4</x:v>
      </x:c>
      <x:c r="J270" s="12" t="str">
        <x:v>https://www.pref.nagano.lg.jp/ringyo/documents/sinkeikaku2025.pdf</x:v>
      </x:c>
      <x:c r="K270" s="12" t="str">
        <x:v>2026-07-10</x:v>
      </x:c>
    </x:row>
    <x:row r="271">
      <x:c r="A271" s="12" t="str">
        <x:v>米子不動線</x:v>
      </x:c>
      <x:c r="B271" s="12" t="str">
        <x:v>須坂市</x:v>
      </x:c>
      <x:c r="C271" s="12" t="str">
        <x:v>R7-R11</x:v>
      </x:c>
      <x:c r="D271" s="12" t="str">
        <x:v>林道点検診断・保全整備事業</x:v>
      </x:c>
      <x:c r="E271" s="12" t="str">
        <x:v>点検診断・保全整備（保全整備L=13m）</x:v>
      </x:c>
      <x:c r="F271" s="12" t="str">
        <x:v>R7～R7</x:v>
      </x:c>
      <x:c r="G271" s="12" t="str">
        <x:v>3217</x:v>
      </x:c>
      <x:c r="H271" s="12" t="str">
        <x:v>なし</x:v>
      </x:c>
      <x:c r="I271" s="12" t="str">
        <x:v>4</x:v>
      </x:c>
      <x:c r="J271" s="12" t="str">
        <x:v>https://www.pref.nagano.lg.jp/ringyo/documents/sinkeikaku2025.pdf</x:v>
      </x:c>
      <x:c r="K271" s="12" t="str">
        <x:v>2026-07-10</x:v>
      </x:c>
    </x:row>
    <x:row r="272">
      <x:c r="A272" s="12" t="str">
        <x:v>上和桐山線</x:v>
      </x:c>
      <x:c r="B272" s="12" t="str">
        <x:v>小川村</x:v>
      </x:c>
      <x:c r="C272" s="12" t="str">
        <x:v>R7-R11</x:v>
      </x:c>
      <x:c r="D272" s="12" t="str">
        <x:v>林道点検診断・保全整備事業</x:v>
      </x:c>
      <x:c r="E272" s="12" t="str">
        <x:v>点検診断・保全整備（点検診断L=28m）</x:v>
      </x:c>
      <x:c r="F272" s="12" t="str">
        <x:v>R7～R7</x:v>
      </x:c>
      <x:c r="G272" s="12" t="str">
        <x:v>1327</x:v>
      </x:c>
      <x:c r="H272" s="12" t="str">
        <x:v>あり</x:v>
      </x:c>
      <x:c r="I272" s="12" t="str">
        <x:v>4</x:v>
      </x:c>
      <x:c r="J272" s="12" t="str">
        <x:v>https://www.pref.nagano.lg.jp/ringyo/documents/sinkeikaku2025.pdf</x:v>
      </x:c>
      <x:c r="K272" s="12" t="str">
        <x:v>2026-07-10</x:v>
      </x:c>
    </x:row>
    <x:row r="273">
      <x:c r="A273" s="12" t="str">
        <x:v>秋山線</x:v>
      </x:c>
      <x:c r="B273" s="12" t="str">
        <x:v>栄村</x:v>
      </x:c>
      <x:c r="C273" s="12" t="str">
        <x:v>R7-R11</x:v>
      </x:c>
      <x:c r="D273" s="12" t="str">
        <x:v>林道点検診断・保全整備事業</x:v>
      </x:c>
      <x:c r="E273" s="12" t="str">
        <x:v>点検診断・保全整備（点検診断L=93m）</x:v>
      </x:c>
      <x:c r="F273" s="12" t="str">
        <x:v>R7～R7</x:v>
      </x:c>
      <x:c r="G273" s="12" t="str">
        <x:v>2643</x:v>
      </x:c>
      <x:c r="H273" s="12" t="str">
        <x:v>なし</x:v>
      </x:c>
      <x:c r="I273" s="12" t="str">
        <x:v>4</x:v>
      </x:c>
      <x:c r="J273" s="12" t="str">
        <x:v>https://www.pref.nagano.lg.jp/ringyo/documents/sinkeikaku2025.pdf</x:v>
      </x:c>
      <x:c r="K273" s="12" t="str">
        <x:v>2026-07-10</x:v>
      </x:c>
    </x:row>
  </x:sheetData>
  <x:pageMargins left="0.7" right="0.7" top="0.75" bottom="0.75" header="0.3" footer="0.3"/>
  <x:tableParts count="1">
    <x:tablePart xmlns:r="http://schemas.openxmlformats.org/officeDocument/2006/relationships" r:id="R3770510850f949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8" hidden="0" customWidth="1"/>
    <x:col min="5" max="5" width="10" hidden="0" customWidth="1"/>
    <x:col min="6" max="6" width="10" hidden="0" customWidth="1"/>
    <x:col min="7" max="7" width="22" hidden="0" customWidth="1"/>
    <x:col min="8" max="8" width="18" hidden="0" customWidth="1"/>
  </x:cols>
  <x:sheetData>
    <x:row r="1">
      <x:c r="A1" s="28" t="str">
        <x:v>長野県 林道候補リサーチ・マスター</x:v>
      </x:c>
      <x:c r="B1" s="28"/>
      <x:c r="C1" s="28"/>
      <x:c r="D1" s="28"/>
      <x:c r="E1" s="28"/>
      <x:c r="F1" s="28"/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3" ht="28" customHeight="1">
      <x:c r="A3" s="32" t="str">
        <x:v>行政資料を軸に、OSM位置照合と未舗装手掛かりを分離して整理（確認日 2026-07-10）</x:v>
      </x:c>
      <x:c r="B3" s="32"/>
      <x:c r="C3" s="32"/>
      <x:c r="D3" s="32"/>
      <x:c r="E3" s="32"/>
      <x:c r="F3" s="32"/>
      <x:c r="G3" s="32"/>
      <x:c r="H3" s="32"/>
    </x:row>
    <x:row r="5">
      <x:c r="A5" s="36" t="str">
        <x:v>指標</x:v>
      </x:c>
      <x:c r="B5" s="36" t="str">
        <x:v>件数</x:v>
      </x:c>
      <x:c r="D5" s="36" t="str">
        <x:v>評価の読み方</x:v>
      </x:c>
      <x:c r="E5" s="36" t="str">
        <x:v>内容</x:v>
      </x:c>
      <x:c r="F5" s="36"/>
      <x:c r="G5" s="36"/>
      <x:c r="H5" s="36"/>
    </x:row>
    <x:row r="6">
      <x:c r="A6" s="40" t="str">
        <x:v>マスター総数</x:v>
      </x:c>
      <x:c r="B6" s="44" t="n">
        <x:f>COUNTA('候補マスター'!B2:B145)</x:f>
        <x:v>144</x:v>
      </x:c>
      <x:c r="D6" s="46" t="str">
        <x:v>A</x:v>
      </x:c>
      <x:c r="E6" s="46" t="str">
        <x:v>行政掲載・位置確認・未舗装の明示的手掛かりが揃う</x:v>
      </x:c>
      <x:c r="F6" s="46"/>
      <x:c r="G6" s="46"/>
      <x:c r="H6" s="46"/>
    </x:row>
    <x:row r="7">
      <x:c r="A7" s="40" t="str">
        <x:v>位置確認済み</x:v>
      </x:c>
      <x:c r="B7" s="44" t="n">
        <x:f>COUNTIF('候補マスター'!L2:L145,"&lt;&gt;位置未特定")</x:f>
        <x:v>24</x:v>
      </x:c>
      <x:c r="D7" s="46" t="str">
        <x:v>B</x:v>
      </x:c>
      <x:c r="E7" s="46" t="str">
        <x:v>行政掲載と位置確認はできるが、路面は未確認</x:v>
      </x:c>
      <x:c r="F7" s="46"/>
      <x:c r="G7" s="46"/>
      <x:c r="H7" s="46"/>
    </x:row>
    <x:row r="8">
      <x:c r="A8" s="40" t="str">
        <x:v>優先度A</x:v>
      </x:c>
      <x:c r="B8" s="44" t="n">
        <x:f>COUNTIF('候補マスター'!F2:F145,"A")</x:f>
        <x:v>3</x:v>
      </x:c>
      <x:c r="D8" s="46" t="str">
        <x:v>C</x:v>
      </x:c>
      <x:c r="E8" s="46" t="str">
        <x:v>行政掲載済み。位置追加調査または舗装計画あり</x:v>
      </x:c>
      <x:c r="F8" s="46"/>
      <x:c r="G8" s="46"/>
      <x:c r="H8" s="46"/>
    </x:row>
    <x:row r="9">
      <x:c r="A9" s="40" t="str">
        <x:v>優先度B</x:v>
      </x:c>
      <x:c r="B9" s="44" t="n">
        <x:f>COUNTIF('候補マスター'!F2:F145,"B")</x:f>
        <x:v>12</x:v>
      </x:c>
      <x:c r="D9" s="46" t="str">
        <x:v>D</x:v>
      </x:c>
      <x:c r="E9" s="46" t="str">
        <x:v>過去の行政計画掲載を確認。現況調査待ち</x:v>
      </x:c>
      <x:c r="F9" s="46"/>
      <x:c r="G9" s="46"/>
      <x:c r="H9" s="46"/>
    </x:row>
    <x:row r="10">
      <x:c r="A10" s="40" t="str">
        <x:v>全県実走候補</x:v>
      </x:c>
      <x:c r="B10" s="44" t="n">
        <x:v>10</x:v>
      </x:c>
      <x:c r="D10" s="46" t="str">
        <x:v>重要</x:v>
      </x:c>
      <x:c r="E10" s="46" t="str">
        <x:v>通行可否・ゲート・現況は現地または管理者確認が必要</x:v>
      </x:c>
      <x:c r="F10" s="46"/>
      <x:c r="G10" s="46"/>
      <x:c r="H10" s="46"/>
    </x:row>
    <x:row r="12" ht="28" customHeight="1">
      <x:c r="A12" s="48" t="str">
        <x:v>全県実走候補（地域配分後）</x:v>
      </x:c>
      <x:c r="B12" s="48"/>
      <x:c r="C12" s="48"/>
      <x:c r="D12" s="48"/>
      <x:c r="E12" s="48"/>
      <x:c r="F12" s="48"/>
      <x:c r="G12" s="48"/>
      <x:c r="H12" s="48"/>
    </x:row>
    <x:row r="13">
      <x:c r="A13" s="52" t="str">
        <x:v>順位</x:v>
      </x:c>
      <x:c r="B13" s="52" t="str">
        <x:v>ID</x:v>
      </x:c>
      <x:c r="C13" s="52" t="str">
        <x:v>林道名</x:v>
      </x:c>
      <x:c r="D13" s="52" t="str">
        <x:v>市町村</x:v>
      </x:c>
      <x:c r="E13" s="52" t="str">
        <x:v>地域</x:v>
      </x:c>
      <x:c r="F13" s="52" t="str">
        <x:v>優先度</x:v>
      </x:c>
      <x:c r="G13" s="52" t="str">
        <x:v>位置</x:v>
      </x:c>
      <x:c r="H13" s="52" t="str">
        <x:v>未舗装手掛かり</x:v>
      </x:c>
    </x:row>
    <x:row r="14">
      <x:c r="A14" s="58" t="n">
        <x:v>1</x:v>
      </x:c>
      <x:c r="B14" s="58" t="str">
        <x:v>NGN-000026</x:v>
      </x:c>
      <x:c r="C14" s="58" t="str">
        <x:v>古城線</x:v>
      </x:c>
      <x:c r="D14" s="58" t="str">
        <x:v>駒ヶ根市</x:v>
      </x:c>
      <x:c r="E14" s="58" t="str">
        <x:v>南信</x:v>
      </x:c>
      <x:c r="F14" s="58" t="str">
        <x:v>A</x:v>
      </x:c>
      <x:c r="G14" s="58" t="str">
        <x:v>OSM名前一致代表点</x:v>
      </x:c>
      <x:c r="H14" s="58" t="str">
        <x:v>強</x:v>
      </x:c>
    </x:row>
    <x:row r="15">
      <x:c r="A15" s="58" t="n">
        <x:v>2</x:v>
      </x:c>
      <x:c r="B15" s="58" t="str">
        <x:v>NGN-000063</x:v>
      </x:c>
      <x:c r="C15" s="58" t="str">
        <x:v>鳥倉線</x:v>
      </x:c>
      <x:c r="D15" s="58" t="str">
        <x:v>大鹿村</x:v>
      </x:c>
      <x:c r="E15" s="58" t="str">
        <x:v>南信</x:v>
      </x:c>
      <x:c r="F15" s="58" t="str">
        <x:v>A</x:v>
      </x:c>
      <x:c r="G15" s="58" t="str">
        <x:v>OSM名前一致代表点</x:v>
      </x:c>
      <x:c r="H15" s="58" t="str">
        <x:v>強</x:v>
      </x:c>
    </x:row>
    <x:row r="16">
      <x:c r="A16" s="58" t="n">
        <x:v>3</x:v>
      </x:c>
      <x:c r="B16" s="58" t="str">
        <x:v>NGN-000123</x:v>
      </x:c>
      <x:c r="C16" s="58" t="str">
        <x:v>鳩打線</x:v>
      </x:c>
      <x:c r="D16" s="58" t="str">
        <x:v>飯田市</x:v>
      </x:c>
      <x:c r="E16" s="58" t="str">
        <x:v>南信</x:v>
      </x:c>
      <x:c r="F16" s="58" t="str">
        <x:v>A</x:v>
      </x:c>
      <x:c r="G16" s="58" t="str">
        <x:v>OSM名前一致代表点</x:v>
      </x:c>
      <x:c r="H16" s="58" t="str">
        <x:v>強</x:v>
      </x:c>
    </x:row>
    <x:row r="17">
      <x:c r="A17" s="58" t="n">
        <x:v>4</x:v>
      </x:c>
      <x:c r="B17" s="58" t="str">
        <x:v>NGN-000041</x:v>
      </x:c>
      <x:c r="C17" s="58" t="str">
        <x:v>宮ノ入線</x:v>
      </x:c>
      <x:c r="D17" s="58" t="str">
        <x:v>松本市</x:v>
      </x:c>
      <x:c r="E17" s="58" t="str">
        <x:v>中信</x:v>
      </x:c>
      <x:c r="F17" s="58" t="str">
        <x:v>B</x:v>
      </x:c>
      <x:c r="G17" s="58" t="str">
        <x:v>OSM名前一致代表点</x:v>
      </x:c>
      <x:c r="H17" s="58" t="str">
        <x:v>中</x:v>
      </x:c>
    </x:row>
    <x:row r="18">
      <x:c r="A18" s="58" t="n">
        <x:v>5</x:v>
      </x:c>
      <x:c r="B18" s="58" t="str">
        <x:v>NGN-000046</x:v>
      </x:c>
      <x:c r="C18" s="58" t="str">
        <x:v>大川線</x:v>
      </x:c>
      <x:c r="D18" s="58" t="str">
        <x:v>長野市</x:v>
      </x:c>
      <x:c r="E18" s="58" t="str">
        <x:v>北信</x:v>
      </x:c>
      <x:c r="F18" s="58" t="str">
        <x:v>B</x:v>
      </x:c>
      <x:c r="G18" s="58" t="str">
        <x:v>OSM名前一致代表点</x:v>
      </x:c>
      <x:c r="H18" s="58" t="str">
        <x:v>中</x:v>
      </x:c>
    </x:row>
    <x:row r="19">
      <x:c r="A19" s="58" t="n">
        <x:v>6</x:v>
      </x:c>
      <x:c r="B19" s="58" t="str">
        <x:v>NGN-000010</x:v>
      </x:c>
      <x:c r="C19" s="58" t="str">
        <x:v>猿ヶ入</x:v>
      </x:c>
      <x:c r="D19" s="58" t="str">
        <x:v>茅野市</x:v>
      </x:c>
      <x:c r="E19" s="58" t="str">
        <x:v>南信</x:v>
      </x:c>
      <x:c r="F19" s="58" t="str">
        <x:v>B</x:v>
      </x:c>
      <x:c r="G19" s="58" t="str">
        <x:v>線形あり</x:v>
      </x:c>
      <x:c r="H19" s="58" t="str">
        <x:v>強</x:v>
      </x:c>
    </x:row>
    <x:row r="20">
      <x:c r="A20" s="58" t="n">
        <x:v>7</x:v>
      </x:c>
      <x:c r="B20" s="58" t="str">
        <x:v>NGN-000021</x:v>
      </x:c>
      <x:c r="C20" s="58" t="str">
        <x:v>横河山線</x:v>
      </x:c>
      <x:c r="D20" s="58" t="str">
        <x:v>岡谷市</x:v>
      </x:c>
      <x:c r="E20" s="58" t="str">
        <x:v>南信</x:v>
      </x:c>
      <x:c r="F20" s="58" t="str">
        <x:v>B</x:v>
      </x:c>
      <x:c r="G20" s="58" t="str">
        <x:v>OSM名前一致代表点</x:v>
      </x:c>
      <x:c r="H20" s="58" t="str">
        <x:v>中</x:v>
      </x:c>
    </x:row>
    <x:row r="21">
      <x:c r="A21" s="58" t="n">
        <x:v>8</x:v>
      </x:c>
      <x:c r="B21" s="58" t="str">
        <x:v>NGN-000030</x:v>
      </x:c>
      <x:c r="C21" s="58" t="str">
        <x:v>売木うつぼ線</x:v>
      </x:c>
      <x:c r="D21" s="58" t="str">
        <x:v>阿南町</x:v>
      </x:c>
      <x:c r="E21" s="58" t="str">
        <x:v>南信</x:v>
      </x:c>
      <x:c r="F21" s="58" t="str">
        <x:v>B</x:v>
      </x:c>
      <x:c r="G21" s="58" t="str">
        <x:v>OSM名前一致代表点</x:v>
      </x:c>
      <x:c r="H21" s="58" t="str">
        <x:v>中</x:v>
      </x:c>
    </x:row>
    <x:row r="22">
      <x:c r="A22" s="58" t="n">
        <x:v>9</x:v>
      </x:c>
      <x:c r="B22" s="58" t="str">
        <x:v>NGN-000106</x:v>
      </x:c>
      <x:c r="C22" s="58" t="str">
        <x:v>九竜平線</x:v>
      </x:c>
      <x:c r="D22" s="58" t="str">
        <x:v>佐久市</x:v>
      </x:c>
      <x:c r="E22" s="58" t="str">
        <x:v>東信</x:v>
      </x:c>
      <x:c r="F22" s="58" t="str">
        <x:v>B</x:v>
      </x:c>
      <x:c r="G22" s="58" t="str">
        <x:v>OSM名前一致代表点</x:v>
      </x:c>
      <x:c r="H22" s="58" t="str">
        <x:v>中</x:v>
      </x:c>
    </x:row>
    <x:row r="23">
      <x:c r="A23" s="58" t="n">
        <x:v>10</x:v>
      </x:c>
      <x:c r="B23" s="58" t="str">
        <x:v>NGN-000107</x:v>
      </x:c>
      <x:c r="C23" s="58" t="str">
        <x:v>大上線</x:v>
      </x:c>
      <x:c r="D23" s="58" t="str">
        <x:v>佐久穂町</x:v>
      </x:c>
      <x:c r="E23" s="58" t="str">
        <x:v>東信</x:v>
      </x:c>
      <x:c r="F23" s="58" t="str">
        <x:v>B</x:v>
      </x:c>
      <x:c r="G23" s="58" t="str">
        <x:v>OSM名前一致代表点</x:v>
      </x:c>
      <x:c r="H23" s="58" t="str">
        <x:v>中</x:v>
      </x:c>
    </x:row>
  </x:sheetData>
  <x:mergeCells>
    <x:mergeCell ref="A1:H2"/>
    <x:mergeCell ref="A3:H3"/>
    <x:mergeCell ref="E5:H5"/>
    <x:mergeCell ref="E6:H6"/>
    <x:mergeCell ref="E7:H7"/>
    <x:mergeCell ref="E8:H8"/>
    <x:mergeCell ref="E9:H9"/>
    <x:mergeCell ref="E10:H10"/>
    <x:mergeCell ref="A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0" hidden="0" customWidth="1"/>
    <x:col min="4" max="4" width="18" hidden="0" customWidth="1"/>
    <x:col min="5" max="5" width="10" hidden="0" customWidth="1"/>
    <x:col min="6" max="6" width="10" hidden="0" customWidth="1"/>
    <x:col min="7" max="7" width="24" hidden="0" customWidth="1"/>
    <x:col min="8" max="8" width="18" hidden="0" customWidth="1"/>
    <x:col min="9" max="9" width="58" hidden="0" customWidth="1"/>
    <x:col min="10" max="10" width="58" hidden="0" customWidth="1"/>
  </x:cols>
  <x:sheetData>
    <x:row r="1" ht="34" customHeight="1">
      <x:c r="A1" s="6" t="str">
        <x:v>順位</x:v>
      </x:c>
      <x:c r="B1" s="6" t="str">
        <x:v>ID</x:v>
      </x:c>
      <x:c r="C1" s="6" t="str">
        <x:v>林道名</x:v>
      </x:c>
      <x:c r="D1" s="6" t="str">
        <x:v>市町村</x:v>
      </x:c>
      <x:c r="E1" s="6" t="str">
        <x:v>地域</x:v>
      </x:c>
      <x:c r="F1" s="6" t="str">
        <x:v>優先度</x:v>
      </x:c>
      <x:c r="G1" s="6" t="str">
        <x:v>位置状態</x:v>
      </x:c>
      <x:c r="H1" s="6" t="str">
        <x:v>未舗装手掛かり</x:v>
      </x:c>
      <x:c r="I1" s="6" t="str">
        <x:v>選定理由</x:v>
      </x:c>
      <x:c r="J1" s="6" t="str">
        <x:v>参照先</x:v>
      </x:c>
    </x:row>
    <x:row r="2">
      <x:c r="A2" s="58" t="n">
        <x:v>1</x:v>
      </x:c>
      <x:c r="B2" s="58" t="str">
        <x:v>NGN-000026</x:v>
      </x:c>
      <x:c r="C2" s="58" t="str">
        <x:v>古城線</x:v>
      </x:c>
      <x:c r="D2" s="58" t="str">
        <x:v>駒ヶ根市</x:v>
      </x:c>
      <x:c r="E2" s="58" t="str">
        <x:v>南信</x:v>
      </x:c>
      <x:c r="F2" s="58" t="str">
        <x:v>A</x:v>
      </x:c>
      <x:c r="G2" s="58" t="str">
        <x:v>OSM名前一致代表点</x:v>
      </x:c>
      <x:c r="H2" s="58" t="str">
        <x:v>強</x:v>
      </x:c>
      <x:c r="I2" s="58" t="str">
        <x:v>長野県R7-R11計画掲載。OSM名前一致を市町村境界で確認。trackまたは未舗装系タグあり。</x:v>
      </x:c>
      <x:c r="J2" s="58" t="str">
        <x:v>https://www.pref.nagano.lg.jp/ringyo/documents/sinkeikaku2025.pdf
https://www.openstreetmap.org/way/99144102</x:v>
      </x:c>
    </x:row>
    <x:row r="3">
      <x:c r="A3" s="58" t="n">
        <x:v>2</x:v>
      </x:c>
      <x:c r="B3" s="58" t="str">
        <x:v>NGN-000063</x:v>
      </x:c>
      <x:c r="C3" s="58" t="str">
        <x:v>鳥倉線</x:v>
      </x:c>
      <x:c r="D3" s="58" t="str">
        <x:v>大鹿村</x:v>
      </x:c>
      <x:c r="E3" s="58" t="str">
        <x:v>南信</x:v>
      </x:c>
      <x:c r="F3" s="58" t="str">
        <x:v>A</x:v>
      </x:c>
      <x:c r="G3" s="58" t="str">
        <x:v>OSM名前一致代表点</x:v>
      </x:c>
      <x:c r="H3" s="58" t="str">
        <x:v>強</x:v>
      </x:c>
      <x:c r="I3" s="58" t="str">
        <x:v>長野県R7-R11計画掲載。OSM名前一致を市町村境界で確認。trackまたは未舗装系タグあり。</x:v>
      </x:c>
      <x:c r="J3" s="58" t="str">
        <x:v>https://www.pref.nagano.lg.jp/ringyo/documents/sinkeikaku2025.pdf
https://www.openstreetmap.org/way/598309082</x:v>
      </x:c>
    </x:row>
    <x:row r="4">
      <x:c r="A4" s="58" t="n">
        <x:v>3</x:v>
      </x:c>
      <x:c r="B4" s="58" t="str">
        <x:v>NGN-000123</x:v>
      </x:c>
      <x:c r="C4" s="58" t="str">
        <x:v>鳩打線</x:v>
      </x:c>
      <x:c r="D4" s="58" t="str">
        <x:v>飯田市</x:v>
      </x:c>
      <x:c r="E4" s="58" t="str">
        <x:v>南信</x:v>
      </x:c>
      <x:c r="F4" s="58" t="str">
        <x:v>A</x:v>
      </x:c>
      <x:c r="G4" s="58" t="str">
        <x:v>OSM名前一致代表点</x:v>
      </x:c>
      <x:c r="H4" s="58" t="str">
        <x:v>強</x:v>
      </x:c>
      <x:c r="I4" s="58" t="str">
        <x:v>長野県R7-R11計画掲載。OSM名前一致を市町村境界で確認。trackまたは未舗装系タグあり。</x:v>
      </x:c>
      <x:c r="J4" s="58" t="str">
        <x:v>https://www.pref.nagano.lg.jp/ringyo/documents/sinkeikaku2025.pdf
https://www.openstreetmap.org/way/151412259</x:v>
      </x:c>
    </x:row>
    <x:row r="5">
      <x:c r="A5" s="58" t="n">
        <x:v>4</x:v>
      </x:c>
      <x:c r="B5" s="58" t="str">
        <x:v>NGN-000041</x:v>
      </x:c>
      <x:c r="C5" s="58" t="str">
        <x:v>宮ノ入線</x:v>
      </x:c>
      <x:c r="D5" s="58" t="str">
        <x:v>松本市</x:v>
      </x:c>
      <x:c r="E5" s="58" t="str">
        <x:v>中信</x:v>
      </x:c>
      <x:c r="F5" s="58" t="str">
        <x:v>B</x:v>
      </x:c>
      <x:c r="G5" s="58" t="str">
        <x:v>OSM名前一致代表点</x:v>
      </x:c>
      <x:c r="H5" s="58" t="str">
        <x:v>中</x:v>
      </x:c>
      <x:c r="I5" s="58" t="str">
        <x:v>長野県R7-R11計画掲載。OSM名前一致を市町村境界で確認。</x:v>
      </x:c>
      <x:c r="J5" s="58" t="str">
        <x:v>https://www.pref.nagano.lg.jp/ringyo/documents/sinkeikaku2025.pdf
https://www.openstreetmap.org/way/150698933</x:v>
      </x:c>
    </x:row>
    <x:row r="6">
      <x:c r="A6" s="58" t="n">
        <x:v>5</x:v>
      </x:c>
      <x:c r="B6" s="58" t="str">
        <x:v>NGN-000046</x:v>
      </x:c>
      <x:c r="C6" s="58" t="str">
        <x:v>大川線</x:v>
      </x:c>
      <x:c r="D6" s="58" t="str">
        <x:v>長野市</x:v>
      </x:c>
      <x:c r="E6" s="58" t="str">
        <x:v>北信</x:v>
      </x:c>
      <x:c r="F6" s="58" t="str">
        <x:v>B</x:v>
      </x:c>
      <x:c r="G6" s="58" t="str">
        <x:v>OSM名前一致代表点</x:v>
      </x:c>
      <x:c r="H6" s="58" t="str">
        <x:v>中</x:v>
      </x:c>
      <x:c r="I6" s="58" t="str">
        <x:v>長野県R7-R11計画掲載。OSM名前一致を市町村境界で確認。</x:v>
      </x:c>
      <x:c r="J6" s="58" t="str">
        <x:v>https://www.pref.nagano.lg.jp/ringyo/documents/sinkeikaku2025.pdf
https://www.openstreetmap.org/way/172215158</x:v>
      </x:c>
    </x:row>
    <x:row r="7">
      <x:c r="A7" s="58" t="n">
        <x:v>6</x:v>
      </x:c>
      <x:c r="B7" s="58" t="str">
        <x:v>NGN-000010</x:v>
      </x:c>
      <x:c r="C7" s="58" t="str">
        <x:v>猿ヶ入</x:v>
      </x:c>
      <x:c r="D7" s="58" t="str">
        <x:v>茅野市</x:v>
      </x:c>
      <x:c r="E7" s="58" t="str">
        <x:v>南信</x:v>
      </x:c>
      <x:c r="F7" s="58" t="str">
        <x:v>B</x:v>
      </x:c>
      <x:c r="G7" s="58" t="str">
        <x:v>線形あり</x:v>
      </x:c>
      <x:c r="H7" s="58" t="str">
        <x:v>強</x:v>
      </x:c>
      <x:c r="I7" s="58" t="str">
        <x:v>市森林整備計画で整備内容・延長・利用区域を確認。OSM名前一致を市町村境界で確認。trackまたは未舗装系タグあり。</x:v>
      </x:c>
      <x:c r="J7" s="58" t="str">
        <x:v>https://www.city.chino.lg.jp/uploaded/attachment/28188.pdf
https://www.openstreetmap.org/way/146988886</x:v>
      </x:c>
    </x:row>
    <x:row r="8">
      <x:c r="A8" s="58" t="n">
        <x:v>7</x:v>
      </x:c>
      <x:c r="B8" s="58" t="str">
        <x:v>NGN-000021</x:v>
      </x:c>
      <x:c r="C8" s="58" t="str">
        <x:v>横河山線</x:v>
      </x:c>
      <x:c r="D8" s="58" t="str">
        <x:v>岡谷市</x:v>
      </x:c>
      <x:c r="E8" s="58" t="str">
        <x:v>南信</x:v>
      </x:c>
      <x:c r="F8" s="58" t="str">
        <x:v>B</x:v>
      </x:c>
      <x:c r="G8" s="58" t="str">
        <x:v>OSM名前一致代表点</x:v>
      </x:c>
      <x:c r="H8" s="58" t="str">
        <x:v>中</x:v>
      </x:c>
      <x:c r="I8" s="58" t="str">
        <x:v>長野県R7-R11計画掲載。OSM名前一致を市町村境界で確認。</x:v>
      </x:c>
      <x:c r="J8" s="58" t="str">
        <x:v>https://www.pref.nagano.lg.jp/ringyo/documents/sinkeikaku2025.pdf
https://www.openstreetmap.org/way/142724564</x:v>
      </x:c>
    </x:row>
    <x:row r="9">
      <x:c r="A9" s="58" t="n">
        <x:v>8</x:v>
      </x:c>
      <x:c r="B9" s="58" t="str">
        <x:v>NGN-000030</x:v>
      </x:c>
      <x:c r="C9" s="58" t="str">
        <x:v>売木うつぼ線</x:v>
      </x:c>
      <x:c r="D9" s="58" t="str">
        <x:v>阿南町</x:v>
      </x:c>
      <x:c r="E9" s="58" t="str">
        <x:v>南信</x:v>
      </x:c>
      <x:c r="F9" s="58" t="str">
        <x:v>B</x:v>
      </x:c>
      <x:c r="G9" s="58" t="str">
        <x:v>OSM名前一致代表点</x:v>
      </x:c>
      <x:c r="H9" s="58" t="str">
        <x:v>中</x:v>
      </x:c>
      <x:c r="I9" s="58" t="str">
        <x:v>長野県R7-R11計画掲載。OSM名前一致を市町村境界で確認。</x:v>
      </x:c>
      <x:c r="J9" s="58" t="str">
        <x:v>https://www.pref.nagano.lg.jp/ringyo/documents/sinkeikaku2025.pdf
https://www.openstreetmap.org/way/122676683</x:v>
      </x:c>
    </x:row>
    <x:row r="10">
      <x:c r="A10" s="58" t="n">
        <x:v>9</x:v>
      </x:c>
      <x:c r="B10" s="58" t="str">
        <x:v>NGN-000106</x:v>
      </x:c>
      <x:c r="C10" s="58" t="str">
        <x:v>九竜平線</x:v>
      </x:c>
      <x:c r="D10" s="58" t="str">
        <x:v>佐久市</x:v>
      </x:c>
      <x:c r="E10" s="58" t="str">
        <x:v>東信</x:v>
      </x:c>
      <x:c r="F10" s="58" t="str">
        <x:v>B</x:v>
      </x:c>
      <x:c r="G10" s="58" t="str">
        <x:v>OSM名前一致代表点</x:v>
      </x:c>
      <x:c r="H10" s="58" t="str">
        <x:v>中</x:v>
      </x:c>
      <x:c r="I10" s="58" t="str">
        <x:v>長野県R7-R11計画掲載。OSM名前一致を市町村境界で確認。</x:v>
      </x:c>
      <x:c r="J10" s="58" t="str">
        <x:v>https://www.pref.nagano.lg.jp/ringyo/documents/sinkeikaku2025.pdf
https://www.openstreetmap.org/way/156125459</x:v>
      </x:c>
    </x:row>
    <x:row r="11">
      <x:c r="A11" s="58" t="n">
        <x:v>10</x:v>
      </x:c>
      <x:c r="B11" s="58" t="str">
        <x:v>NGN-000107</x:v>
      </x:c>
      <x:c r="C11" s="58" t="str">
        <x:v>大上線</x:v>
      </x:c>
      <x:c r="D11" s="58" t="str">
        <x:v>佐久穂町</x:v>
      </x:c>
      <x:c r="E11" s="58" t="str">
        <x:v>東信</x:v>
      </x:c>
      <x:c r="F11" s="58" t="str">
        <x:v>B</x:v>
      </x:c>
      <x:c r="G11" s="58" t="str">
        <x:v>OSM名前一致代表点</x:v>
      </x:c>
      <x:c r="H11" s="58" t="str">
        <x:v>中</x:v>
      </x:c>
      <x:c r="I11" s="58" t="str">
        <x:v>長野県R7-R11計画掲載。OSM名前一致を市町村境界で確認。</x:v>
      </x:c>
      <x:c r="J11" s="58" t="str">
        <x:v>https://www.pref.nagano.lg.jp/ringyo/documents/sinkeikaku2025.pdf
https://www.openstreetmap.org/way/170035476</x:v>
      </x:c>
    </x:row>
  </x:sheetData>
  <x:pageMargins left="0.7" right="0.7" top="0.75" bottom="0.75" header="0.3" footer="0.3"/>
  <x:tableParts count="1">
    <x:tablePart xmlns:r="http://schemas.openxmlformats.org/officeDocument/2006/relationships" r:id="R2d35cb393c724a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6" hidden="0" customWidth="1"/>
    <x:col min="4" max="4" width="10" hidden="0" customWidth="1"/>
    <x:col min="5" max="5" width="24" hidden="0" customWidth="1"/>
    <x:col min="6" max="6" width="10" hidden="0" customWidth="1"/>
    <x:col min="7" max="7" width="22" hidden="0" customWidth="1"/>
    <x:col min="8" max="8" width="24" hidden="0" customWidth="1"/>
    <x:col min="9" max="9" width="38" hidden="0" customWidth="1"/>
    <x:col min="10" max="10" width="26" hidden="0" customWidth="1"/>
    <x:col min="11" max="11" width="14" hidden="0" customWidth="1"/>
    <x:col min="12" max="12" width="21" hidden="0" customWidth="1"/>
    <x:col min="13" max="13" width="13" hidden="0" customWidth="1"/>
    <x:col min="14" max="14" width="13" hidden="0" customWidth="1"/>
    <x:col min="15" max="15" width="12" hidden="0" customWidth="1"/>
    <x:col min="16" max="16" width="18" hidden="0" customWidth="1"/>
    <x:col min="17" max="17" width="15" hidden="0" customWidth="1"/>
    <x:col min="18" max="18" width="16" hidden="0" customWidth="1"/>
    <x:col min="19" max="19" width="20" hidden="0" customWidth="1"/>
    <x:col min="20" max="20" width="15" hidden="0" customWidth="1"/>
    <x:col min="21" max="21" width="18" hidden="0" customWidth="1"/>
    <x:col min="22" max="22" width="50" hidden="0" customWidth="1"/>
    <x:col min="23" max="23" width="48" hidden="0" customWidth="1"/>
    <x:col min="24" max="24" width="50" hidden="0" customWidth="1"/>
    <x:col min="25" max="25" width="50" hidden="0" customWidth="1"/>
    <x:col min="26" max="26" width="48" hidden="0" customWidth="1"/>
    <x:col min="27" max="27" width="13" hidden="0" customWidth="1"/>
  </x:cols>
  <x:sheetData>
    <x:row r="1" ht="34" customHeight="1">
      <x:c r="A1" s="64" t="str">
        <x:v>ID</x:v>
      </x:c>
      <x:c r="B1" s="64" t="str">
        <x:v>林道名</x:v>
      </x:c>
      <x:c r="C1" s="64" t="str">
        <x:v>関係市町村</x:v>
      </x:c>
      <x:c r="D1" s="64" t="str">
        <x:v>地域</x:v>
      </x:c>
      <x:c r="E1" s="64" t="str">
        <x:v>候補状態</x:v>
      </x:c>
      <x:c r="F1" s="64" t="str">
        <x:v>優先度</x:v>
      </x:c>
      <x:c r="G1" s="64" t="str">
        <x:v>行政計画</x:v>
      </x:c>
      <x:c r="H1" s="64" t="str">
        <x:v>事業型</x:v>
      </x:c>
      <x:c r="I1" s="64" t="str">
        <x:v>事業内容</x:v>
      </x:c>
      <x:c r="J1" s="64" t="str">
        <x:v>整備延長等</x:v>
      </x:c>
      <x:c r="K1" s="64" t="str">
        <x:v>利用区域ha</x:v>
      </x:c>
      <x:c r="L1" s="64" t="str">
        <x:v>位置状態</x:v>
      </x:c>
      <x:c r="M1" s="64" t="str">
        <x:v>緯度</x:v>
      </x:c>
      <x:c r="N1" s="64" t="str">
        <x:v>経度</x:v>
      </x:c>
      <x:c r="O1" s="64" t="str">
        <x:v>OSM一致</x:v>
      </x:c>
      <x:c r="P1" s="64" t="str">
        <x:v>OSM道路種別</x:v>
      </x:c>
      <x:c r="Q1" s="64" t="str">
        <x:v>OSM路面</x:v>
      </x:c>
      <x:c r="R1" s="64" t="str">
        <x:v>OSM tracktype</x:v>
      </x:c>
      <x:c r="S1" s="64" t="str">
        <x:v>OSM way ID</x:v>
      </x:c>
      <x:c r="T1" s="64" t="str">
        <x:v>未舗装手掛かり</x:v>
      </x:c>
      <x:c r="U1" s="64" t="str">
        <x:v>通行可否</x:v>
      </x:c>
      <x:c r="V1" s="64" t="str">
        <x:v>選定理由</x:v>
      </x:c>
      <x:c r="W1" s="64" t="str">
        <x:v>注意点</x:v>
      </x:c>
      <x:c r="X1" s="64" t="str">
        <x:v>取得元</x:v>
      </x:c>
      <x:c r="Y1" s="64" t="str">
        <x:v>位置情報源</x:v>
      </x:c>
      <x:c r="Z1" s="64" t="str">
        <x:v>参照URL</x:v>
      </x:c>
      <x:c r="AA1" s="64" t="str">
        <x:v>確認日</x:v>
      </x:c>
    </x:row>
    <x:row r="2">
      <x:c r="A2" s="70" t="str">
        <x:v>NGN-000001</x:v>
      </x:c>
      <x:c r="B2" s="70" t="str">
        <x:v>東嶽</x:v>
      </x:c>
      <x:c r="C2" s="70" t="str">
        <x:v>茅野市</x:v>
      </x:c>
      <x:c r="D2" s="70" t="str">
        <x:v>南信</x:v>
      </x:c>
      <x:c r="E2" s="70" t="str">
        <x:v>位置追加調査</x:v>
      </x:c>
      <x:c r="F2" s="70" t="str">
        <x:v>C</x:v>
      </x:c>
      <x:c r="G2" s="70" t="str">
        <x:v>茅野市森林整備計画</x:v>
      </x:c>
      <x:c r="H2" s="70" t="str">
        <x:v>開設（新設）</x:v>
      </x:c>
      <x:c r="I2" s="70" t="str">
        <x:v>開設（新設） 5,000m</x:v>
      </x:c>
      <x:c r="J2" s="70" t="str">
        <x:v>5,000m</x:v>
      </x:c>
      <x:c r="K2" s="70" t="str">
        <x:v>104</x:v>
      </x:c>
      <x:c r="L2" s="70" t="str">
        <x:v>位置未特定</x:v>
      </x:c>
      <x:c r="M2" s="70" t="str"/>
      <x:c r="N2" s="70" t="str"/>
      <x:c r="O2" s="70" t="str">
        <x:v>なし</x:v>
      </x:c>
      <x:c r="P2" s="70" t="str"/>
      <x:c r="Q2" s="70" t="str"/>
      <x:c r="R2" s="70" t="str"/>
      <x:c r="S2" s="70" t="str"/>
      <x:c r="T2" s="70" t="str">
        <x:v>未確認</x:v>
      </x:c>
      <x:c r="U2" s="70" t="str">
        <x:v>要確認</x:v>
      </x:c>
      <x:c r="V2" s="70" t="str">
        <x:v>市森林整備計画で整備内容・延長・利用区域を確認。入口・代表点未特定。</x:v>
      </x:c>
      <x:c r="W2" s="70" t="str">
        <x:v>通行可否・ゲート・路面は現地未確認。</x:v>
      </x:c>
      <x:c r="X2" s="70" t="str">
        <x:v>茅野市「茅野市森林整備計画書」 https://www.city.chino.lg.jp/uploaded/attachment/28188.pdf</x:v>
      </x:c>
      <x:c r="Y2" s="70" t="str"/>
      <x:c r="Z2" s="70" t="str">
        <x:v>https://www.city.chino.lg.jp/uploaded/attachment/28188.pdf</x:v>
      </x:c>
      <x:c r="AA2" s="70" t="str">
        <x:v>2026-07-10</x:v>
      </x:c>
    </x:row>
    <x:row r="3">
      <x:c r="A3" s="70" t="str">
        <x:v>NGN-000002</x:v>
      </x:c>
      <x:c r="B3" s="70" t="str">
        <x:v>美濃戸</x:v>
      </x:c>
      <x:c r="C3" s="70" t="str">
        <x:v>茅野市</x:v>
      </x:c>
      <x:c r="D3" s="70" t="str">
        <x:v>南信</x:v>
      </x:c>
      <x:c r="E3" s="70" t="str">
        <x:v>位置追加調査</x:v>
      </x:c>
      <x:c r="F3" s="70" t="str">
        <x:v>C</x:v>
      </x:c>
      <x:c r="G3" s="70" t="str">
        <x:v>茅野市森林整備計画</x:v>
      </x:c>
      <x:c r="H3" s="70" t="str">
        <x:v>開設（新設）</x:v>
      </x:c>
      <x:c r="I3" s="70" t="str">
        <x:v>開設（新設） 5,000m</x:v>
      </x:c>
      <x:c r="J3" s="70" t="str">
        <x:v>5,000m</x:v>
      </x:c>
      <x:c r="K3" s="70" t="str">
        <x:v>497</x:v>
      </x:c>
      <x:c r="L3" s="70" t="str">
        <x:v>位置未特定</x:v>
      </x:c>
      <x:c r="M3" s="70" t="str"/>
      <x:c r="N3" s="70" t="str"/>
      <x:c r="O3" s="70" t="str">
        <x:v>なし</x:v>
      </x:c>
      <x:c r="P3" s="70" t="str"/>
      <x:c r="Q3" s="70" t="str"/>
      <x:c r="R3" s="70" t="str"/>
      <x:c r="S3" s="70" t="str"/>
      <x:c r="T3" s="70" t="str">
        <x:v>未確認</x:v>
      </x:c>
      <x:c r="U3" s="70" t="str">
        <x:v>要確認</x:v>
      </x:c>
      <x:c r="V3" s="70" t="str">
        <x:v>市森林整備計画で整備内容・延長・利用区域を確認。入口・代表点未特定。</x:v>
      </x:c>
      <x:c r="W3" s="70" t="str">
        <x:v>通行可否・ゲート・路面は現地未確認。</x:v>
      </x:c>
      <x:c r="X3" s="70" t="str">
        <x:v>茅野市「茅野市森林整備計画書」 https://www.city.chino.lg.jp/uploaded/attachment/28188.pdf</x:v>
      </x:c>
      <x:c r="Y3" s="70" t="str"/>
      <x:c r="Z3" s="70" t="str">
        <x:v>https://www.city.chino.lg.jp/uploaded/attachment/28188.pdf</x:v>
      </x:c>
      <x:c r="AA3" s="70" t="str">
        <x:v>2026-07-10</x:v>
      </x:c>
    </x:row>
    <x:row r="4">
      <x:c r="A4" s="70" t="str">
        <x:v>NGN-000003</x:v>
      </x:c>
      <x:c r="B4" s="70" t="str">
        <x:v>裏望岳</x:v>
      </x:c>
      <x:c r="C4" s="70" t="str">
        <x:v>茅野市</x:v>
      </x:c>
      <x:c r="D4" s="70" t="str">
        <x:v>南信</x:v>
      </x:c>
      <x:c r="E4" s="70" t="str">
        <x:v>位置追加調査</x:v>
      </x:c>
      <x:c r="F4" s="70" t="str">
        <x:v>C</x:v>
      </x:c>
      <x:c r="G4" s="70" t="str">
        <x:v>茅野市森林整備計画</x:v>
      </x:c>
      <x:c r="H4" s="70" t="str">
        <x:v>開設（新設）</x:v>
      </x:c>
      <x:c r="I4" s="70" t="str">
        <x:v>開設（新設） 3,300m</x:v>
      </x:c>
      <x:c r="J4" s="70" t="str">
        <x:v>3,300m</x:v>
      </x:c>
      <x:c r="K4" s="70" t="str">
        <x:v>243</x:v>
      </x:c>
      <x:c r="L4" s="70" t="str">
        <x:v>位置未特定</x:v>
      </x:c>
      <x:c r="M4" s="70" t="str"/>
      <x:c r="N4" s="70" t="str"/>
      <x:c r="O4" s="70" t="str">
        <x:v>なし</x:v>
      </x:c>
      <x:c r="P4" s="70" t="str"/>
      <x:c r="Q4" s="70" t="str"/>
      <x:c r="R4" s="70" t="str"/>
      <x:c r="S4" s="70" t="str"/>
      <x:c r="T4" s="70" t="str">
        <x:v>未確認</x:v>
      </x:c>
      <x:c r="U4" s="70" t="str">
        <x:v>要確認</x:v>
      </x:c>
      <x:c r="V4" s="70" t="str">
        <x:v>市森林整備計画で整備内容・延長・利用区域を確認。入口・代表点未特定。</x:v>
      </x:c>
      <x:c r="W4" s="70" t="str">
        <x:v>通行可否・ゲート・路面は現地未確認。</x:v>
      </x:c>
      <x:c r="X4" s="70" t="str">
        <x:v>茅野市「茅野市森林整備計画書」 https://www.city.chino.lg.jp/uploaded/attachment/28188.pdf</x:v>
      </x:c>
      <x:c r="Y4" s="70" t="str"/>
      <x:c r="Z4" s="70" t="str">
        <x:v>https://www.city.chino.lg.jp/uploaded/attachment/28188.pdf</x:v>
      </x:c>
      <x:c r="AA4" s="70" t="str">
        <x:v>2026-07-10</x:v>
      </x:c>
    </x:row>
    <x:row r="5">
      <x:c r="A5" s="70" t="str">
        <x:v>NGN-000004</x:v>
      </x:c>
      <x:c r="B5" s="70" t="str">
        <x:v>多々羅枝</x:v>
      </x:c>
      <x:c r="C5" s="70" t="str">
        <x:v>茅野市</x:v>
      </x:c>
      <x:c r="D5" s="70" t="str">
        <x:v>南信</x:v>
      </x:c>
      <x:c r="E5" s="70" t="str">
        <x:v>位置追加調査</x:v>
      </x:c>
      <x:c r="F5" s="70" t="str">
        <x:v>C</x:v>
      </x:c>
      <x:c r="G5" s="70" t="str">
        <x:v>茅野市森林整備計画</x:v>
      </x:c>
      <x:c r="H5" s="70" t="str">
        <x:v>開設（新設）</x:v>
      </x:c>
      <x:c r="I5" s="70" t="str">
        <x:v>開設（新設） 600m</x:v>
      </x:c>
      <x:c r="J5" s="70" t="str">
        <x:v>600m</x:v>
      </x:c>
      <x:c r="K5" s="70" t="str">
        <x:v>10</x:v>
      </x:c>
      <x:c r="L5" s="70" t="str">
        <x:v>位置未特定</x:v>
      </x:c>
      <x:c r="M5" s="70" t="str"/>
      <x:c r="N5" s="70" t="str"/>
      <x:c r="O5" s="70" t="str">
        <x:v>なし</x:v>
      </x:c>
      <x:c r="P5" s="70" t="str"/>
      <x:c r="Q5" s="70" t="str"/>
      <x:c r="R5" s="70" t="str"/>
      <x:c r="S5" s="70" t="str"/>
      <x:c r="T5" s="70" t="str">
        <x:v>未確認</x:v>
      </x:c>
      <x:c r="U5" s="70" t="str">
        <x:v>要確認</x:v>
      </x:c>
      <x:c r="V5" s="70" t="str">
        <x:v>市森林整備計画で整備内容・延長・利用区域を確認。入口・代表点未特定。</x:v>
      </x:c>
      <x:c r="W5" s="70" t="str">
        <x:v>通行可否・ゲート・路面は現地未確認。</x:v>
      </x:c>
      <x:c r="X5" s="70" t="str">
        <x:v>茅野市「茅野市森林整備計画書」 https://www.city.chino.lg.jp/uploaded/attachment/28188.pdf</x:v>
      </x:c>
      <x:c r="Y5" s="70" t="str"/>
      <x:c r="Z5" s="70" t="str">
        <x:v>https://www.city.chino.lg.jp/uploaded/attachment/28188.pdf</x:v>
      </x:c>
      <x:c r="AA5" s="70" t="str">
        <x:v>2026-07-10</x:v>
      </x:c>
    </x:row>
    <x:row r="6">
      <x:c r="A6" s="70" t="str">
        <x:v>NGN-000005</x:v>
      </x:c>
      <x:c r="B6" s="70" t="str">
        <x:v>多々羅</x:v>
      </x:c>
      <x:c r="C6" s="70" t="str">
        <x:v>茅野市</x:v>
      </x:c>
      <x:c r="D6" s="70" t="str">
        <x:v>南信</x:v>
      </x:c>
      <x:c r="E6" s="70" t="str">
        <x:v>位置追加調査</x:v>
      </x:c>
      <x:c r="F6" s="70" t="str">
        <x:v>C</x:v>
      </x:c>
      <x:c r="G6" s="70" t="str">
        <x:v>茅野市森林整備計画</x:v>
      </x:c>
      <x:c r="H6" s="70" t="str">
        <x:v>開設（改築）</x:v>
      </x:c>
      <x:c r="I6" s="70" t="str">
        <x:v>開設（改築） 2,000m</x:v>
      </x:c>
      <x:c r="J6" s="70" t="str">
        <x:v>2,000m</x:v>
      </x:c>
      <x:c r="K6" s="70" t="str">
        <x:v>247</x:v>
      </x:c>
      <x:c r="L6" s="70" t="str">
        <x:v>位置未特定</x:v>
      </x:c>
      <x:c r="M6" s="70" t="str"/>
      <x:c r="N6" s="70" t="str"/>
      <x:c r="O6" s="70" t="str">
        <x:v>なし</x:v>
      </x:c>
      <x:c r="P6" s="70" t="str"/>
      <x:c r="Q6" s="70" t="str"/>
      <x:c r="R6" s="70" t="str"/>
      <x:c r="S6" s="70" t="str"/>
      <x:c r="T6" s="70" t="str">
        <x:v>未確認</x:v>
      </x:c>
      <x:c r="U6" s="70" t="str">
        <x:v>要確認</x:v>
      </x:c>
      <x:c r="V6" s="70" t="str">
        <x:v>市森林整備計画で整備内容・延長・利用区域を確認。入口・代表点未特定。</x:v>
      </x:c>
      <x:c r="W6" s="70" t="str">
        <x:v>通行可否・ゲート・路面は現地未確認。</x:v>
      </x:c>
      <x:c r="X6" s="70" t="str">
        <x:v>茅野市「茅野市森林整備計画書」 https://www.city.chino.lg.jp/uploaded/attachment/28188.pdf</x:v>
      </x:c>
      <x:c r="Y6" s="70" t="str"/>
      <x:c r="Z6" s="70" t="str">
        <x:v>https://www.city.chino.lg.jp/uploaded/attachment/28188.pdf</x:v>
      </x:c>
      <x:c r="AA6" s="70" t="str">
        <x:v>2026-07-10</x:v>
      </x:c>
    </x:row>
    <x:row r="7">
      <x:c r="A7" s="70" t="str">
        <x:v>NGN-000006</x:v>
      </x:c>
      <x:c r="B7" s="70" t="str">
        <x:v>坂室</x:v>
      </x:c>
      <x:c r="C7" s="70" t="str">
        <x:v>茅野市</x:v>
      </x:c>
      <x:c r="D7" s="70" t="str">
        <x:v>南信</x:v>
      </x:c>
      <x:c r="E7" s="70" t="str">
        <x:v>舗装計画あり・優先度低</x:v>
      </x:c>
      <x:c r="F7" s="70" t="str">
        <x:v>C</x:v>
      </x:c>
      <x:c r="G7" s="70" t="str">
        <x:v>茅野市森林整備計画</x:v>
      </x:c>
      <x:c r="H7" s="70" t="str">
        <x:v>拡張（舗装）</x:v>
      </x:c>
      <x:c r="I7" s="70" t="str">
        <x:v>拡張（舗装） 1,800m</x:v>
      </x:c>
      <x:c r="J7" s="70" t="str">
        <x:v>1,800m</x:v>
      </x:c>
      <x:c r="K7" s="70" t="str">
        <x:v>217</x:v>
      </x:c>
      <x:c r="L7" s="70" t="str">
        <x:v>線形あり</x:v>
      </x:c>
      <x:c r="M7" s="70" t="str">
        <x:v>35.9803993</x:v>
      </x:c>
      <x:c r="N7" s="70" t="str">
        <x:v>138.1592387</x:v>
      </x:c>
      <x:c r="O7" s="70" t="str">
        <x:v>なし</x:v>
      </x:c>
      <x:c r="P7" s="70" t="str"/>
      <x:c r="Q7" s="70" t="str"/>
      <x:c r="R7" s="70" t="str"/>
      <x:c r="S7" s="70" t="str"/>
      <x:c r="T7" s="70" t="str">
        <x:v>未確認</x:v>
      </x:c>
      <x:c r="U7" s="70" t="str">
        <x:v>要確認</x:v>
      </x:c>
      <x:c r="V7" s="70" t="str">
        <x:v>市森林整備計画で整備内容・延長・利用区域を確認。舗装計画記載のため未舗装候補としては低優先。</x:v>
      </x:c>
      <x:c r="W7" s="70" t="str">
        <x:v>通行可否・ゲート・路面は現地未確認。計画記載は施工完了や現況を保証しない。</x:v>
      </x:c>
      <x:c r="X7" s="70" t="str">
        <x:v>茅野市「茅野市森林整備計画書」 https://www.city.chino.lg.jp/uploaded/attachment/28188.pdf</x:v>
      </x:c>
      <x:c r="Y7" s="70" t="str">
        <x:v>OpenStreetMap way name match: 坂室バイパス (way 92624025)</x:v>
      </x:c>
      <x:c r="Z7" s="70" t="str">
        <x:v>https://www.city.chino.lg.jp/uploaded/attachment/28188.pdf</x:v>
      </x:c>
      <x:c r="AA7" s="70" t="str">
        <x:v>2026-07-10</x:v>
      </x:c>
    </x:row>
    <x:row r="8">
      <x:c r="A8" s="70" t="str">
        <x:v>NGN-000007</x:v>
      </x:c>
      <x:c r="B8" s="70" t="str">
        <x:v>天皇林支</x:v>
      </x:c>
      <x:c r="C8" s="70" t="str">
        <x:v>茅野市</x:v>
      </x:c>
      <x:c r="D8" s="70" t="str">
        <x:v>南信</x:v>
      </x:c>
      <x:c r="E8" s="70" t="str">
        <x:v>位置追加調査</x:v>
      </x:c>
      <x:c r="F8" s="70" t="str">
        <x:v>C</x:v>
      </x:c>
      <x:c r="G8" s="70" t="str">
        <x:v>茅野市森林整備計画</x:v>
      </x:c>
      <x:c r="H8" s="70" t="str">
        <x:v>拡張（改良）・法面保全</x:v>
      </x:c>
      <x:c r="I8" s="70" t="str">
        <x:v>拡張（改良）・法面保全 600m・10箇所</x:v>
      </x:c>
      <x:c r="J8" s="70" t="str">
        <x:v>600m・10箇所</x:v>
      </x:c>
      <x:c r="K8" s="70" t="str">
        <x:v>130</x:v>
      </x:c>
      <x:c r="L8" s="70" t="str">
        <x:v>位置未特定</x:v>
      </x:c>
      <x:c r="M8" s="70" t="str"/>
      <x:c r="N8" s="70" t="str"/>
      <x:c r="O8" s="70" t="str">
        <x:v>なし</x:v>
      </x:c>
      <x:c r="P8" s="70" t="str"/>
      <x:c r="Q8" s="70" t="str"/>
      <x:c r="R8" s="70" t="str"/>
      <x:c r="S8" s="70" t="str"/>
      <x:c r="T8" s="70" t="str">
        <x:v>未確認</x:v>
      </x:c>
      <x:c r="U8" s="70" t="str">
        <x:v>要確認</x:v>
      </x:c>
      <x:c r="V8" s="70" t="str">
        <x:v>市森林整備計画で整備内容・延長・利用区域を確認。入口・代表点未特定。</x:v>
      </x:c>
      <x:c r="W8" s="70" t="str">
        <x:v>通行可否・ゲート・路面は現地未確認。</x:v>
      </x:c>
      <x:c r="X8" s="70" t="str">
        <x:v>茅野市「茅野市森林整備計画書」 https://www.city.chino.lg.jp/uploaded/attachment/28188.pdf</x:v>
      </x:c>
      <x:c r="Y8" s="70" t="str"/>
      <x:c r="Z8" s="70" t="str">
        <x:v>https://www.city.chino.lg.jp/uploaded/attachment/28188.pdf</x:v>
      </x:c>
      <x:c r="AA8" s="70" t="str">
        <x:v>2026-07-10</x:v>
      </x:c>
    </x:row>
    <x:row r="9">
      <x:c r="A9" s="70" t="str">
        <x:v>NGN-000008</x:v>
      </x:c>
      <x:c r="B9" s="70" t="str">
        <x:v>大沢山</x:v>
      </x:c>
      <x:c r="C9" s="70" t="str">
        <x:v>茅野市</x:v>
      </x:c>
      <x:c r="D9" s="70" t="str">
        <x:v>南信</x:v>
      </x:c>
      <x:c r="E9" s="70" t="str">
        <x:v>位置追加調査</x:v>
      </x:c>
      <x:c r="F9" s="70" t="str">
        <x:v>C</x:v>
      </x:c>
      <x:c r="G9" s="70" t="str">
        <x:v>茅野市森林整備計画</x:v>
      </x:c>
      <x:c r="H9" s="70" t="str">
        <x:v>拡張（改良）・局部改良</x:v>
      </x:c>
      <x:c r="I9" s="70" t="str">
        <x:v>拡張（改良）・局部改良 1,000m・5箇所</x:v>
      </x:c>
      <x:c r="J9" s="70" t="str">
        <x:v>1,000m・5箇所</x:v>
      </x:c>
      <x:c r="K9" s="70" t="str">
        <x:v>168</x:v>
      </x:c>
      <x:c r="L9" s="70" t="str">
        <x:v>位置未特定</x:v>
      </x:c>
      <x:c r="M9" s="70" t="str"/>
      <x:c r="N9" s="70" t="str"/>
      <x:c r="O9" s="70" t="str">
        <x:v>なし</x:v>
      </x:c>
      <x:c r="P9" s="70" t="str"/>
      <x:c r="Q9" s="70" t="str"/>
      <x:c r="R9" s="70" t="str"/>
      <x:c r="S9" s="70" t="str"/>
      <x:c r="T9" s="70" t="str">
        <x:v>未確認</x:v>
      </x:c>
      <x:c r="U9" s="70" t="str">
        <x:v>要確認</x:v>
      </x:c>
      <x:c r="V9" s="70" t="str">
        <x:v>市森林整備計画で整備内容・延長・利用区域を確認。入口・代表点未特定。</x:v>
      </x:c>
      <x:c r="W9" s="70" t="str">
        <x:v>通行可否・ゲート・路面は現地未確認。</x:v>
      </x:c>
      <x:c r="X9" s="70" t="str">
        <x:v>茅野市「茅野市森林整備計画書」 https://www.city.chino.lg.jp/uploaded/attachment/28188.pdf</x:v>
      </x:c>
      <x:c r="Y9" s="70" t="str"/>
      <x:c r="Z9" s="70" t="str">
        <x:v>https://www.city.chino.lg.jp/uploaded/attachment/28188.pdf</x:v>
      </x:c>
      <x:c r="AA9" s="70" t="str">
        <x:v>2026-07-10</x:v>
      </x:c>
    </x:row>
    <x:row r="10">
      <x:c r="A10" s="70" t="str">
        <x:v>NGN-000009</x:v>
      </x:c>
      <x:c r="B10" s="70" t="str">
        <x:v>高部</x:v>
      </x:c>
      <x:c r="C10" s="70" t="str">
        <x:v>茅野市</x:v>
      </x:c>
      <x:c r="D10" s="70" t="str">
        <x:v>南信</x:v>
      </x:c>
      <x:c r="E10" s="70" t="str">
        <x:v>位置追加調査</x:v>
      </x:c>
      <x:c r="F10" s="70" t="str">
        <x:v>C</x:v>
      </x:c>
      <x:c r="G10" s="70" t="str">
        <x:v>茅野市森林整備計画</x:v>
      </x:c>
      <x:c r="H10" s="70" t="str">
        <x:v>拡張（改良）・局部改良</x:v>
      </x:c>
      <x:c r="I10" s="70" t="str">
        <x:v>拡張（改良）・局部改良 150m・3箇所</x:v>
      </x:c>
      <x:c r="J10" s="70" t="str">
        <x:v>150m・3箇所</x:v>
      </x:c>
      <x:c r="K10" s="70" t="str">
        <x:v>59</x:v>
      </x:c>
      <x:c r="L10" s="70" t="str">
        <x:v>代表点あり</x:v>
      </x:c>
      <x:c r="M10" s="70" t="str">
        <x:v>35.9948235</x:v>
      </x:c>
      <x:c r="N10" s="70" t="str">
        <x:v>138.1279433</x:v>
      </x:c>
      <x:c r="O10" s="70" t="str">
        <x:v>なし</x:v>
      </x:c>
      <x:c r="P10" s="70" t="str"/>
      <x:c r="Q10" s="70" t="str"/>
      <x:c r="R10" s="70" t="str"/>
      <x:c r="S10" s="70" t="str"/>
      <x:c r="T10" s="70" t="str">
        <x:v>未確認</x:v>
      </x:c>
      <x:c r="U10" s="70" t="str">
        <x:v>要確認</x:v>
      </x:c>
      <x:c r="V10" s="70" t="str">
        <x:v>市森林整備計画で整備内容・延長・利用区域を確認。</x:v>
      </x:c>
      <x:c r="W10" s="70" t="str">
        <x:v>通行可否・ゲート・路面は現地未確認。</x:v>
      </x:c>
      <x:c r="X10" s="70" t="str">
        <x:v>茅野市「茅野市森林整備計画書」 https://www.city.chino.lg.jp/uploaded/attachment/28188.pdf</x:v>
      </x:c>
      <x:c r="Y10" s="70" t="str">
        <x:v>OpenStreetMap Nominatim: 高部; 茅野市内の地名代表点</x:v>
      </x:c>
      <x:c r="Z10" s="70" t="str">
        <x:v>https://www.city.chino.lg.jp/uploaded/attachment/28188.pdf</x:v>
      </x:c>
      <x:c r="AA10" s="70" t="str">
        <x:v>2026-07-10</x:v>
      </x:c>
    </x:row>
    <x:row r="11">
      <x:c r="A11" s="70" t="str">
        <x:v>NGN-000010</x:v>
      </x:c>
      <x:c r="B11" s="70" t="str">
        <x:v>猿ヶ入</x:v>
      </x:c>
      <x:c r="C11" s="70" t="str">
        <x:v>茅野市</x:v>
      </x:c>
      <x:c r="D11" s="70" t="str">
        <x:v>南信</x:v>
      </x:c>
      <x:c r="E11" s="70" t="str">
        <x:v>次点候補</x:v>
      </x:c>
      <x:c r="F11" s="70" t="str">
        <x:v>B</x:v>
      </x:c>
      <x:c r="G11" s="70" t="str">
        <x:v>茅野市森林整備計画</x:v>
      </x:c>
      <x:c r="H11" s="70" t="str">
        <x:v>拡張（改良）・局部改良</x:v>
      </x:c>
      <x:c r="I11" s="70" t="str">
        <x:v>拡張（改良）・局部改良 50m・1箇所</x:v>
      </x:c>
      <x:c r="J11" s="70" t="str">
        <x:v>50m・1箇所</x:v>
      </x:c>
      <x:c r="K11" s="70" t="str">
        <x:v>67</x:v>
      </x:c>
      <x:c r="L11" s="70" t="str">
        <x:v>線形あり</x:v>
      </x:c>
      <x:c r="M11" s="70" t="str">
        <x:v>35.9482940</x:v>
      </x:c>
      <x:c r="N11" s="70" t="str">
        <x:v>138.1542560</x:v>
      </x:c>
      <x:c r="O11" s="70" t="str">
        <x:v>あり</x:v>
      </x:c>
      <x:c r="P11" s="70" t="str">
        <x:v>track</x:v>
      </x:c>
      <x:c r="Q11" s="70" t="str"/>
      <x:c r="R11" s="70" t="str">
        <x:v>grade2</x:v>
      </x:c>
      <x:c r="S11" s="70" t="str">
        <x:v>146988886</x:v>
      </x:c>
      <x:c r="T11" s="70" t="str">
        <x:v>強</x:v>
      </x:c>
      <x:c r="U11" s="70" t="str">
        <x:v>要確認</x:v>
      </x:c>
      <x:c r="V11" s="70" t="str">
        <x:v>市森林整備計画で整備内容・延長・利用区域を確認。OSM名前一致を市町村境界で確認。trackまたは未舗装系タグあり。</x:v>
      </x:c>
      <x:c r="W11" s="70" t="str">
        <x:v>通行可否・ゲート・路面は現地未確認。</x:v>
      </x:c>
      <x:c r="X11" s="70" t="str">
        <x:v>茅野市「茅野市森林整備計画書」 https://www.city.chino.lg.jp/uploaded/attachment/28188.pdf</x:v>
      </x:c>
      <x:c r="Y11" s="70" t="str">
        <x:v>OpenStreetMap way name match: 林道猿ヶ入線 (way 146988886)</x:v>
      </x:c>
      <x:c r="Z11" s="70" t="str">
        <x:v>https://www.city.chino.lg.jp/uploaded/attachment/28188.pdf</x:v>
      </x:c>
      <x:c r="AA11" s="70" t="str">
        <x:v>2026-07-10</x:v>
      </x:c>
    </x:row>
    <x:row r="12">
      <x:c r="A12" s="70" t="str">
        <x:v>NGN-000011</x:v>
      </x:c>
      <x:c r="B12" s="70" t="str">
        <x:v>棚嵐線</x:v>
      </x:c>
      <x:c r="C12" s="70" t="str">
        <x:v>諏訪市</x:v>
      </x:c>
      <x:c r="D12" s="70" t="str">
        <x:v>南信</x:v>
      </x:c>
      <x:c r="E12" s="70" t="str">
        <x:v>位置追加調査</x:v>
      </x:c>
      <x:c r="F12" s="70" t="str">
        <x:v>C</x:v>
      </x:c>
      <x:c r="G12" s="70" t="str">
        <x:v>諏訪市森林整備計画</x:v>
      </x:c>
      <x:c r="H12" s="70" t="str">
        <x:v>開設</x:v>
      </x:c>
      <x:c r="I12" s="70" t="str">
        <x:v>開設 3,300m</x:v>
      </x:c>
      <x:c r="J12" s="70" t="str">
        <x:v>3,300m</x:v>
      </x:c>
      <x:c r="K12" s="70" t="str">
        <x:v>106</x:v>
      </x:c>
      <x:c r="L12" s="70" t="str">
        <x:v>代表点あり</x:v>
      </x:c>
      <x:c r="M12" s="70" t="str">
        <x:v>35.9908150</x:v>
      </x:c>
      <x:c r="N12" s="70" t="str">
        <x:v>138.1307040</x:v>
      </x:c>
      <x:c r="O12" s="70" t="str">
        <x:v>なし</x:v>
      </x:c>
      <x:c r="P12" s="70" t="str"/>
      <x:c r="Q12" s="70" t="str"/>
      <x:c r="R12" s="70" t="str"/>
      <x:c r="S12" s="70" t="str"/>
      <x:c r="T12" s="70" t="str">
        <x:v>未確認</x:v>
      </x:c>
      <x:c r="U12" s="70" t="str">
        <x:v>要確認</x:v>
      </x:c>
      <x:c r="V12" s="70" t="str">
        <x:v>市森林整備計画で整備内容・延長・利用区域を確認。</x:v>
      </x:c>
      <x:c r="W12" s="70" t="str">
        <x:v>通行可否・ゲート・路面は現地未確認。</x:v>
      </x:c>
      <x:c r="X12" s="70" t="str">
        <x:v>諏訪市「諏訪市森林整備計画 変更計画書」 https://www.city.suwa.lg.jp/uploaded/life/74090_150401_misc.pdf</x:v>
      </x:c>
      <x:c r="Y12" s="70" t="str">
        <x:v>諏訪市森林整備計画 1/7 概要図 ①から代表点を採取</x:v>
      </x:c>
      <x:c r="Z12" s="70" t="str">
        <x:v>https://www.city.suwa.lg.jp/uploaded/life/74090_150401_misc.pdf</x:v>
      </x:c>
      <x:c r="AA12" s="70" t="str">
        <x:v>2026-07-10</x:v>
      </x:c>
    </x:row>
    <x:row r="13">
      <x:c r="A13" s="70" t="str">
        <x:v>NGN-000012</x:v>
      </x:c>
      <x:c r="B13" s="70" t="str">
        <x:v>赤ジッコ線</x:v>
      </x:c>
      <x:c r="C13" s="70" t="str">
        <x:v>諏訪市</x:v>
      </x:c>
      <x:c r="D13" s="70" t="str">
        <x:v>南信</x:v>
      </x:c>
      <x:c r="E13" s="70" t="str">
        <x:v>位置追加調査</x:v>
      </x:c>
      <x:c r="F13" s="70" t="str">
        <x:v>C</x:v>
      </x:c>
      <x:c r="G13" s="70" t="str">
        <x:v>諏訪市森林整備計画</x:v>
      </x:c>
      <x:c r="H13" s="70" t="str">
        <x:v>拡張（改良）・法面保全</x:v>
      </x:c>
      <x:c r="I13" s="70" t="str">
        <x:v>拡張（改良）・法面保全 1,000m・10箇所</x:v>
      </x:c>
      <x:c r="J13" s="70" t="str">
        <x:v>1,000m・10箇所</x:v>
      </x:c>
      <x:c r="K13" s="70" t="str">
        <x:v>197</x:v>
      </x:c>
      <x:c r="L13" s="70" t="str">
        <x:v>代表点あり</x:v>
      </x:c>
      <x:c r="M13" s="70" t="str">
        <x:v>35.9519610</x:v>
      </x:c>
      <x:c r="N13" s="70" t="str">
        <x:v>138.0599670</x:v>
      </x:c>
      <x:c r="O13" s="70" t="str">
        <x:v>なし</x:v>
      </x:c>
      <x:c r="P13" s="70" t="str"/>
      <x:c r="Q13" s="70" t="str"/>
      <x:c r="R13" s="70" t="str"/>
      <x:c r="S13" s="70" t="str"/>
      <x:c r="T13" s="70" t="str">
        <x:v>未確認</x:v>
      </x:c>
      <x:c r="U13" s="70" t="str">
        <x:v>要確認</x:v>
      </x:c>
      <x:c r="V13" s="70" t="str">
        <x:v>市森林整備計画で整備内容・延長・利用区域を確認。</x:v>
      </x:c>
      <x:c r="W13" s="70" t="str">
        <x:v>通行可否・ゲート・路面は現地未確認。</x:v>
      </x:c>
      <x:c r="X13" s="70" t="str">
        <x:v>諏訪市「諏訪市森林整備計画 変更計画書」 https://www.city.suwa.lg.jp/uploaded/life/74090_150401_misc.pdf</x:v>
      </x:c>
      <x:c r="Y13" s="70" t="str">
        <x:v>諏訪市森林整備計画 1/7 概要図 ②から代表点を採取</x:v>
      </x:c>
      <x:c r="Z13" s="70" t="str">
        <x:v>https://www.city.suwa.lg.jp/uploaded/life/74090_150401_misc.pdf</x:v>
      </x:c>
      <x:c r="AA13" s="70" t="str">
        <x:v>2026-07-10</x:v>
      </x:c>
    </x:row>
    <x:row r="14">
      <x:c r="A14" s="70" t="str">
        <x:v>NGN-000013</x:v>
      </x:c>
      <x:c r="B14" s="70" t="str">
        <x:v>扇平南峠線</x:v>
      </x:c>
      <x:c r="C14" s="70" t="str">
        <x:v>諏訪市</x:v>
      </x:c>
      <x:c r="D14" s="70" t="str">
        <x:v>南信</x:v>
      </x:c>
      <x:c r="E14" s="70" t="str">
        <x:v>舗装計画あり・優先度低</x:v>
      </x:c>
      <x:c r="F14" s="70" t="str">
        <x:v>C</x:v>
      </x:c>
      <x:c r="G14" s="70" t="str">
        <x:v>諏訪市森林整備計画</x:v>
      </x:c>
      <x:c r="H14" s="70" t="str">
        <x:v>拡張（改良・舗装）</x:v>
      </x:c>
      <x:c r="I14" s="70" t="str">
        <x:v>拡張（改良・舗装） 改良200m・2箇所／舗装1,000m</x:v>
      </x:c>
      <x:c r="J14" s="70" t="str">
        <x:v>改良200m・2箇所／舗装1,000m</x:v>
      </x:c>
      <x:c r="K14" s="70" t="str">
        <x:v>125</x:v>
      </x:c>
      <x:c r="L14" s="70" t="str">
        <x:v>線形あり</x:v>
      </x:c>
      <x:c r="M14" s="70" t="str">
        <x:v>36.0899680</x:v>
      </x:c>
      <x:c r="N14" s="70" t="str">
        <x:v>138.1772840</x:v>
      </x:c>
      <x:c r="O14" s="70" t="str">
        <x:v>なし</x:v>
      </x:c>
      <x:c r="P14" s="70" t="str"/>
      <x:c r="Q14" s="70" t="str"/>
      <x:c r="R14" s="70" t="str"/>
      <x:c r="S14" s="70" t="str"/>
      <x:c r="T14" s="70" t="str">
        <x:v>未確認</x:v>
      </x:c>
      <x:c r="U14" s="70" t="str">
        <x:v>要確認</x:v>
      </x:c>
      <x:c r="V14" s="70" t="str">
        <x:v>市森林整備計画で整備内容・延長・利用区域を確認。舗装計画記載のため未舗装候補としては低優先。</x:v>
      </x:c>
      <x:c r="W14" s="70" t="str">
        <x:v>通行可否・ゲート・路面は現地未確認。計画記載は施工完了や現況を保証しない。</x:v>
      </x:c>
      <x:c r="X14" s="70" t="str">
        <x:v>諏訪市「諏訪市森林整備計画 変更計画書」 https://www.city.suwa.lg.jp/uploaded/life/74090_150401_misc.pdf</x:v>
      </x:c>
      <x:c r="Y14" s="70" t="str">
        <x:v>諏訪市森林整備計画 1/7 概要図 ③/⑦から代表点を採取</x:v>
      </x:c>
      <x:c r="Z14" s="70" t="str">
        <x:v>https://www.city.suwa.lg.jp/uploaded/life/74090_150401_misc.pdf</x:v>
      </x:c>
      <x:c r="AA14" s="70" t="str">
        <x:v>2026-07-10</x:v>
      </x:c>
    </x:row>
    <x:row r="15">
      <x:c r="A15" s="70" t="str">
        <x:v>NGN-000014</x:v>
      </x:c>
      <x:c r="B15" s="70" t="str">
        <x:v>付上線</x:v>
      </x:c>
      <x:c r="C15" s="70" t="str">
        <x:v>諏訪市</x:v>
      </x:c>
      <x:c r="D15" s="70" t="str">
        <x:v>南信</x:v>
      </x:c>
      <x:c r="E15" s="70" t="str">
        <x:v>位置追加調査</x:v>
      </x:c>
      <x:c r="F15" s="70" t="str">
        <x:v>C</x:v>
      </x:c>
      <x:c r="G15" s="70" t="str">
        <x:v>諏訪市森林整備計画</x:v>
      </x:c>
      <x:c r="H15" s="70" t="str">
        <x:v>拡張（改良）・局部改良</x:v>
      </x:c>
      <x:c r="I15" s="70" t="str">
        <x:v>拡張（改良）・局部改良 60m・2箇所</x:v>
      </x:c>
      <x:c r="J15" s="70" t="str">
        <x:v>60m・2箇所</x:v>
      </x:c>
      <x:c r="K15" s="70" t="str">
        <x:v>68</x:v>
      </x:c>
      <x:c r="L15" s="70" t="str">
        <x:v>代表点あり</x:v>
      </x:c>
      <x:c r="M15" s="70" t="str">
        <x:v>35.9600350</x:v>
      </x:c>
      <x:c r="N15" s="70" t="str">
        <x:v>138.0675460</x:v>
      </x:c>
      <x:c r="O15" s="70" t="str">
        <x:v>なし</x:v>
      </x:c>
      <x:c r="P15" s="70" t="str"/>
      <x:c r="Q15" s="70" t="str"/>
      <x:c r="R15" s="70" t="str"/>
      <x:c r="S15" s="70" t="str"/>
      <x:c r="T15" s="70" t="str">
        <x:v>未確認</x:v>
      </x:c>
      <x:c r="U15" s="70" t="str">
        <x:v>要確認</x:v>
      </x:c>
      <x:c r="V15" s="70" t="str">
        <x:v>市森林整備計画で整備内容・延長・利用区域を確認。</x:v>
      </x:c>
      <x:c r="W15" s="70" t="str">
        <x:v>通行可否・ゲート・路面は現地未確認。</x:v>
      </x:c>
      <x:c r="X15" s="70" t="str">
        <x:v>諏訪市「諏訪市森林整備計画 変更計画書」 https://www.city.suwa.lg.jp/uploaded/life/74090_150401_misc.pdf</x:v>
      </x:c>
      <x:c r="Y15" s="70" t="str">
        <x:v>諏訪市森林整備計画 1/7 概要図 ⑧から代表点を採取</x:v>
      </x:c>
      <x:c r="Z15" s="70" t="str">
        <x:v>https://www.city.suwa.lg.jp/uploaded/life/74090_150401_misc.pdf</x:v>
      </x:c>
      <x:c r="AA15" s="70" t="str">
        <x:v>2026-07-10</x:v>
      </x:c>
    </x:row>
    <x:row r="16">
      <x:c r="A16" s="70" t="str">
        <x:v>NGN-000015</x:v>
      </x:c>
      <x:c r="B16" s="70" t="str">
        <x:v>科ノ木線</x:v>
      </x:c>
      <x:c r="C16" s="70" t="str">
        <x:v>諏訪市</x:v>
      </x:c>
      <x:c r="D16" s="70" t="str">
        <x:v>南信</x:v>
      </x:c>
      <x:c r="E16" s="70" t="str">
        <x:v>舗装計画あり・優先度低</x:v>
      </x:c>
      <x:c r="F16" s="70" t="str">
        <x:v>C</x:v>
      </x:c>
      <x:c r="G16" s="70" t="str">
        <x:v>諏訪市森林整備計画</x:v>
      </x:c>
      <x:c r="H16" s="70" t="str">
        <x:v>拡張（舗装）</x:v>
      </x:c>
      <x:c r="I16" s="70" t="str">
        <x:v>拡張（舗装） 2,500m</x:v>
      </x:c>
      <x:c r="J16" s="70" t="str">
        <x:v>2,500m</x:v>
      </x:c>
      <x:c r="K16" s="70" t="str">
        <x:v>103</x:v>
      </x:c>
      <x:c r="L16" s="70" t="str">
        <x:v>代表点あり</x:v>
      </x:c>
      <x:c r="M16" s="70" t="str">
        <x:v>36.1136840</x:v>
      </x:c>
      <x:c r="N16" s="70" t="str">
        <x:v>138.1894420</x:v>
      </x:c>
      <x:c r="O16" s="70" t="str">
        <x:v>なし</x:v>
      </x:c>
      <x:c r="P16" s="70" t="str"/>
      <x:c r="Q16" s="70" t="str"/>
      <x:c r="R16" s="70" t="str"/>
      <x:c r="S16" s="70" t="str"/>
      <x:c r="T16" s="70" t="str">
        <x:v>未確認</x:v>
      </x:c>
      <x:c r="U16" s="70" t="str">
        <x:v>要確認</x:v>
      </x:c>
      <x:c r="V16" s="70" t="str">
        <x:v>市森林整備計画で整備内容・延長・利用区域を確認。舗装計画記載のため未舗装候補としては低優先。</x:v>
      </x:c>
      <x:c r="W16" s="70" t="str">
        <x:v>通行可否・ゲート・路面は現地未確認。計画記載は施工完了や現況を保証しない。</x:v>
      </x:c>
      <x:c r="X16" s="70" t="str">
        <x:v>諏訪市「諏訪市森林整備計画 変更計画書」 https://www.city.suwa.lg.jp/uploaded/life/74090_150401_misc.pdf</x:v>
      </x:c>
      <x:c r="Y16" s="70" t="str">
        <x:v>諏訪市森林整備計画 1/7 概要図 ④から代表点を採取</x:v>
      </x:c>
      <x:c r="Z16" s="70" t="str">
        <x:v>https://www.city.suwa.lg.jp/uploaded/life/74090_150401_misc.pdf</x:v>
      </x:c>
      <x:c r="AA16" s="70" t="str">
        <x:v>2026-07-10</x:v>
      </x:c>
    </x:row>
    <x:row r="17">
      <x:c r="A17" s="70" t="str">
        <x:v>NGN-000016</x:v>
      </x:c>
      <x:c r="B17" s="70" t="str">
        <x:v>日向入山線</x:v>
      </x:c>
      <x:c r="C17" s="70" t="str">
        <x:v>諏訪市</x:v>
      </x:c>
      <x:c r="D17" s="70" t="str">
        <x:v>南信</x:v>
      </x:c>
      <x:c r="E17" s="70" t="str">
        <x:v>舗装計画あり・優先度低</x:v>
      </x:c>
      <x:c r="F17" s="70" t="str">
        <x:v>C</x:v>
      </x:c>
      <x:c r="G17" s="70" t="str">
        <x:v>諏訪市森林整備計画</x:v>
      </x:c>
      <x:c r="H17" s="70" t="str">
        <x:v>拡張（舗装）</x:v>
      </x:c>
      <x:c r="I17" s="70" t="str">
        <x:v>拡張（舗装） 2,000m</x:v>
      </x:c>
      <x:c r="J17" s="70" t="str">
        <x:v>2,000m</x:v>
      </x:c>
      <x:c r="K17" s="70" t="str">
        <x:v>315</x:v>
      </x:c>
      <x:c r="L17" s="70" t="str">
        <x:v>代表点あり</x:v>
      </x:c>
      <x:c r="M17" s="70" t="str">
        <x:v>35.9489330</x:v>
      </x:c>
      <x:c r="N17" s="70" t="str">
        <x:v>138.0871250</x:v>
      </x:c>
      <x:c r="O17" s="70" t="str">
        <x:v>なし</x:v>
      </x:c>
      <x:c r="P17" s="70" t="str"/>
      <x:c r="Q17" s="70" t="str"/>
      <x:c r="R17" s="70" t="str"/>
      <x:c r="S17" s="70" t="str"/>
      <x:c r="T17" s="70" t="str">
        <x:v>未確認</x:v>
      </x:c>
      <x:c r="U17" s="70" t="str">
        <x:v>要確認</x:v>
      </x:c>
      <x:c r="V17" s="70" t="str">
        <x:v>市森林整備計画で整備内容・延長・利用区域を確認。舗装計画記載のため未舗装候補としては低優先。</x:v>
      </x:c>
      <x:c r="W17" s="70" t="str">
        <x:v>通行可否・ゲート・路面は現地未確認。計画記載は施工完了や現況を保証しない。</x:v>
      </x:c>
      <x:c r="X17" s="70" t="str">
        <x:v>諏訪市「諏訪市森林整備計画 変更計画書」 https://www.city.suwa.lg.jp/uploaded/life/74090_150401_misc.pdf</x:v>
      </x:c>
      <x:c r="Y17" s="70" t="str">
        <x:v>諏訪市森林整備計画 1/7 概要図 ⑤から代表点を採取</x:v>
      </x:c>
      <x:c r="Z17" s="70" t="str">
        <x:v>https://www.city.suwa.lg.jp/uploaded/life/74090_150401_misc.pdf</x:v>
      </x:c>
      <x:c r="AA17" s="70" t="str">
        <x:v>2026-07-10</x:v>
      </x:c>
    </x:row>
    <x:row r="18">
      <x:c r="A18" s="70" t="str">
        <x:v>NGN-000017</x:v>
      </x:c>
      <x:c r="B18" s="70" t="str">
        <x:v>上後２号線</x:v>
      </x:c>
      <x:c r="C18" s="70" t="str">
        <x:v>諏訪市</x:v>
      </x:c>
      <x:c r="D18" s="70" t="str">
        <x:v>南信</x:v>
      </x:c>
      <x:c r="E18" s="70" t="str">
        <x:v>舗装計画あり・優先度低</x:v>
      </x:c>
      <x:c r="F18" s="70" t="str">
        <x:v>C</x:v>
      </x:c>
      <x:c r="G18" s="70" t="str">
        <x:v>諏訪市森林整備計画</x:v>
      </x:c>
      <x:c r="H18" s="70" t="str">
        <x:v>拡張（舗装）</x:v>
      </x:c>
      <x:c r="I18" s="70" t="str">
        <x:v>拡張（舗装） 1,500m</x:v>
      </x:c>
      <x:c r="J18" s="70" t="str">
        <x:v>1,500m</x:v>
      </x:c>
      <x:c r="K18" s="70" t="str">
        <x:v>34</x:v>
      </x:c>
      <x:c r="L18" s="70" t="str">
        <x:v>代表点あり</x:v>
      </x:c>
      <x:c r="M18" s="70" t="str">
        <x:v>35.9933380</x:v>
      </x:c>
      <x:c r="N18" s="70" t="str">
        <x:v>138.0640720</x:v>
      </x:c>
      <x:c r="O18" s="70" t="str">
        <x:v>なし</x:v>
      </x:c>
      <x:c r="P18" s="70" t="str"/>
      <x:c r="Q18" s="70" t="str"/>
      <x:c r="R18" s="70" t="str"/>
      <x:c r="S18" s="70" t="str"/>
      <x:c r="T18" s="70" t="str">
        <x:v>未確認</x:v>
      </x:c>
      <x:c r="U18" s="70" t="str">
        <x:v>要確認</x:v>
      </x:c>
      <x:c r="V18" s="70" t="str">
        <x:v>市森林整備計画で整備内容・延長・利用区域を確認。舗装計画記載のため未舗装候補としては低優先。</x:v>
      </x:c>
      <x:c r="W18" s="70" t="str">
        <x:v>通行可否・ゲート・路面は現地未確認。計画記載は施工完了や現況を保証しない。</x:v>
      </x:c>
      <x:c r="X18" s="70" t="str">
        <x:v>諏訪市「諏訪市森林整備計画 変更計画書」 https://www.city.suwa.lg.jp/uploaded/life/74090_150401_misc.pdf</x:v>
      </x:c>
      <x:c r="Y18" s="70" t="str">
        <x:v>諏訪市森林整備計画 1/7 概要図 ⑥から代表点を採取</x:v>
      </x:c>
      <x:c r="Z18" s="70" t="str">
        <x:v>https://www.city.suwa.lg.jp/uploaded/life/74090_150401_misc.pdf</x:v>
      </x:c>
      <x:c r="AA18" s="70" t="str">
        <x:v>2026-07-10</x:v>
      </x:c>
    </x:row>
  </x:sheetData>
  <x:pageMargins left="0.7" right="0.7" top="0.75" bottom="0.75" header="0.3" footer="0.3"/>
  <x:tableParts count="1">
    <x:tablePart xmlns:r="http://schemas.openxmlformats.org/officeDocument/2006/relationships" r:id="R08e4cf6922ed431e"/>
  </x:tableParts>
</x:worksheet>
</file>